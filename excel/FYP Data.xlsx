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fihidayat/Library/Mobile Documents/com~apple~CloudDocs/Final Year Project/"/>
    </mc:Choice>
  </mc:AlternateContent>
  <xr:revisionPtr revIDLastSave="0" documentId="13_ncr:1_{8AF28DF2-5016-D84A-80FC-2037D5ECD61E}" xr6:coauthVersionLast="47" xr6:coauthVersionMax="47" xr10:uidLastSave="{00000000-0000-0000-0000-000000000000}"/>
  <bookViews>
    <workbookView xWindow="0" yWindow="0" windowWidth="33600" windowHeight="21000" activeTab="1" xr2:uid="{B9B76CBB-9DC5-45F7-8632-F0ACAC353730}"/>
  </bookViews>
  <sheets>
    <sheet name="data" sheetId="2" r:id="rId1"/>
    <sheet name="testing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5" i="3" l="1"/>
  <c r="AV15" i="3"/>
  <c r="AR15" i="3"/>
  <c r="AN15" i="3"/>
  <c r="Z15" i="3"/>
  <c r="Y15" i="3"/>
  <c r="AU15" i="3" s="1"/>
  <c r="X15" i="3"/>
  <c r="AT15" i="3" s="1"/>
  <c r="W15" i="3"/>
  <c r="AS15" i="3" s="1"/>
  <c r="V15" i="3"/>
  <c r="U15" i="3"/>
  <c r="AQ15" i="3" s="1"/>
  <c r="T15" i="3"/>
  <c r="AP15" i="3" s="1"/>
  <c r="S15" i="3"/>
  <c r="AO15" i="3" s="1"/>
  <c r="R15" i="3"/>
  <c r="Q15" i="3"/>
  <c r="AM15" i="3" s="1"/>
  <c r="P15" i="3"/>
  <c r="AL15" i="3" s="1"/>
  <c r="O15" i="3"/>
  <c r="AU14" i="3"/>
  <c r="AS14" i="3"/>
  <c r="AQ14" i="3"/>
  <c r="AO14" i="3"/>
  <c r="AM14" i="3"/>
  <c r="AV14" i="3"/>
  <c r="AN14" i="3"/>
  <c r="Z14" i="3"/>
  <c r="Y14" i="3"/>
  <c r="X14" i="3"/>
  <c r="AT14" i="3" s="1"/>
  <c r="W14" i="3"/>
  <c r="V14" i="3"/>
  <c r="AR14" i="3" s="1"/>
  <c r="U14" i="3"/>
  <c r="T14" i="3"/>
  <c r="AP14" i="3" s="1"/>
  <c r="S14" i="3"/>
  <c r="R14" i="3"/>
  <c r="Q14" i="3"/>
  <c r="P14" i="3"/>
  <c r="AL14" i="3" s="1"/>
  <c r="O14" i="3"/>
  <c r="AS13" i="3"/>
  <c r="AN13" i="3"/>
  <c r="Z13" i="3"/>
  <c r="AV13" i="3" s="1"/>
  <c r="Y13" i="3"/>
  <c r="AU13" i="3" s="1"/>
  <c r="X13" i="3"/>
  <c r="AT13" i="3" s="1"/>
  <c r="W13" i="3"/>
  <c r="V13" i="3"/>
  <c r="AR13" i="3" s="1"/>
  <c r="U13" i="3"/>
  <c r="AQ13" i="3" s="1"/>
  <c r="T13" i="3"/>
  <c r="AP13" i="3" s="1"/>
  <c r="S13" i="3"/>
  <c r="AO13" i="3" s="1"/>
  <c r="R13" i="3"/>
  <c r="Q13" i="3"/>
  <c r="AM13" i="3" s="1"/>
  <c r="P13" i="3"/>
  <c r="AL13" i="3" s="1"/>
  <c r="O13" i="3"/>
  <c r="AV12" i="3"/>
  <c r="AR12" i="3"/>
  <c r="AN12" i="3"/>
  <c r="AL12" i="3"/>
  <c r="AT12" i="3"/>
  <c r="AS12" i="3"/>
  <c r="AP12" i="3"/>
  <c r="AM12" i="3"/>
  <c r="Z12" i="3"/>
  <c r="Y12" i="3"/>
  <c r="AU12" i="3" s="1"/>
  <c r="X12" i="3"/>
  <c r="W12" i="3"/>
  <c r="V12" i="3"/>
  <c r="U12" i="3"/>
  <c r="AQ12" i="3" s="1"/>
  <c r="T12" i="3"/>
  <c r="S12" i="3"/>
  <c r="AO12" i="3" s="1"/>
  <c r="R12" i="3"/>
  <c r="Q12" i="3"/>
  <c r="P12" i="3"/>
  <c r="O12" i="3"/>
  <c r="AS11" i="3"/>
  <c r="AR11" i="3"/>
  <c r="AO11" i="3"/>
  <c r="AN11" i="3"/>
  <c r="AV11" i="3"/>
  <c r="AT11" i="3"/>
  <c r="Z11" i="3"/>
  <c r="Y11" i="3"/>
  <c r="AU11" i="3" s="1"/>
  <c r="X11" i="3"/>
  <c r="W11" i="3"/>
  <c r="V11" i="3"/>
  <c r="U11" i="3"/>
  <c r="AQ11" i="3" s="1"/>
  <c r="T11" i="3"/>
  <c r="AP11" i="3" s="1"/>
  <c r="S11" i="3"/>
  <c r="R11" i="3"/>
  <c r="Q11" i="3"/>
  <c r="AM11" i="3" s="1"/>
  <c r="P11" i="3"/>
  <c r="AL11" i="3" s="1"/>
  <c r="O11" i="3"/>
  <c r="AV10" i="3"/>
  <c r="AP10" i="3"/>
  <c r="AN10" i="3"/>
  <c r="Z10" i="3"/>
  <c r="Y10" i="3"/>
  <c r="AU10" i="3" s="1"/>
  <c r="X10" i="3"/>
  <c r="AT10" i="3" s="1"/>
  <c r="W10" i="3"/>
  <c r="AS10" i="3" s="1"/>
  <c r="V10" i="3"/>
  <c r="AR10" i="3" s="1"/>
  <c r="U10" i="3"/>
  <c r="AQ10" i="3" s="1"/>
  <c r="T10" i="3"/>
  <c r="S10" i="3"/>
  <c r="AO10" i="3" s="1"/>
  <c r="R10" i="3"/>
  <c r="Q10" i="3"/>
  <c r="AM10" i="3" s="1"/>
  <c r="P10" i="3"/>
  <c r="AL10" i="3" s="1"/>
  <c r="O10" i="3"/>
  <c r="AU9" i="3"/>
  <c r="AT9" i="3"/>
  <c r="AQ9" i="3"/>
  <c r="AP9" i="3"/>
  <c r="AL9" i="3"/>
  <c r="AV9" i="3"/>
  <c r="AS9" i="3"/>
  <c r="AR9" i="3"/>
  <c r="AM9" i="3"/>
  <c r="Z9" i="3"/>
  <c r="Y9" i="3"/>
  <c r="X9" i="3"/>
  <c r="W9" i="3"/>
  <c r="V9" i="3"/>
  <c r="U9" i="3"/>
  <c r="T9" i="3"/>
  <c r="S9" i="3"/>
  <c r="AO9" i="3" s="1"/>
  <c r="R9" i="3"/>
  <c r="AN9" i="3" s="1"/>
  <c r="Q9" i="3"/>
  <c r="P9" i="3"/>
  <c r="O9" i="3"/>
  <c r="AS8" i="3"/>
  <c r="AO8" i="3"/>
  <c r="AN8" i="3"/>
  <c r="AV8" i="3"/>
  <c r="AT8" i="3"/>
  <c r="AR8" i="3"/>
  <c r="AM8" i="3"/>
  <c r="Z8" i="3"/>
  <c r="Y8" i="3"/>
  <c r="AU8" i="3" s="1"/>
  <c r="X8" i="3"/>
  <c r="W8" i="3"/>
  <c r="V8" i="3"/>
  <c r="U8" i="3"/>
  <c r="AQ8" i="3" s="1"/>
  <c r="T8" i="3"/>
  <c r="AP8" i="3" s="1"/>
  <c r="S8" i="3"/>
  <c r="R8" i="3"/>
  <c r="Q8" i="3"/>
  <c r="P8" i="3"/>
  <c r="AL8" i="3" s="1"/>
  <c r="O8" i="3"/>
  <c r="AM7" i="3"/>
  <c r="AV7" i="3"/>
  <c r="AT7" i="3"/>
  <c r="AP7" i="3"/>
  <c r="AN7" i="3"/>
  <c r="Z7" i="3"/>
  <c r="Y7" i="3"/>
  <c r="X7" i="3"/>
  <c r="W7" i="3"/>
  <c r="AS7" i="3" s="1"/>
  <c r="V7" i="3"/>
  <c r="U7" i="3"/>
  <c r="T7" i="3"/>
  <c r="S7" i="3"/>
  <c r="R7" i="3"/>
  <c r="Q7" i="3"/>
  <c r="P7" i="3"/>
  <c r="O7" i="3"/>
  <c r="AU7" i="3" s="1"/>
  <c r="AV6" i="3"/>
  <c r="AP6" i="3"/>
  <c r="AN6" i="3"/>
  <c r="Z6" i="3"/>
  <c r="Y6" i="3"/>
  <c r="AU6" i="3" s="1"/>
  <c r="X6" i="3"/>
  <c r="AT6" i="3" s="1"/>
  <c r="W6" i="3"/>
  <c r="AS6" i="3" s="1"/>
  <c r="V6" i="3"/>
  <c r="AR6" i="3" s="1"/>
  <c r="U6" i="3"/>
  <c r="AQ6" i="3" s="1"/>
  <c r="T6" i="3"/>
  <c r="S6" i="3"/>
  <c r="AO6" i="3" s="1"/>
  <c r="R6" i="3"/>
  <c r="Q6" i="3"/>
  <c r="AM6" i="3" s="1"/>
  <c r="P6" i="3"/>
  <c r="AL6" i="3" s="1"/>
  <c r="O6" i="3"/>
  <c r="AU5" i="3"/>
  <c r="AS5" i="3"/>
  <c r="AQ5" i="3"/>
  <c r="AO5" i="3"/>
  <c r="AM5" i="3"/>
  <c r="AV5" i="3"/>
  <c r="AT5" i="3"/>
  <c r="AN5" i="3"/>
  <c r="Z5" i="3"/>
  <c r="Y5" i="3"/>
  <c r="X5" i="3"/>
  <c r="W5" i="3"/>
  <c r="V5" i="3"/>
  <c r="AR5" i="3" s="1"/>
  <c r="U5" i="3"/>
  <c r="T5" i="3"/>
  <c r="S5" i="3"/>
  <c r="R5" i="3"/>
  <c r="Q5" i="3"/>
  <c r="P5" i="3"/>
  <c r="AL5" i="3" s="1"/>
  <c r="O5" i="3"/>
  <c r="AU4" i="3"/>
  <c r="AS4" i="3"/>
  <c r="AP4" i="3"/>
  <c r="AO4" i="3"/>
  <c r="Z4" i="3"/>
  <c r="AV4" i="3" s="1"/>
  <c r="Y4" i="3"/>
  <c r="X4" i="3"/>
  <c r="AT4" i="3" s="1"/>
  <c r="W4" i="3"/>
  <c r="V4" i="3"/>
  <c r="AR4" i="3" s="1"/>
  <c r="U4" i="3"/>
  <c r="AQ4" i="3" s="1"/>
  <c r="T4" i="3"/>
  <c r="S4" i="3"/>
  <c r="R4" i="3"/>
  <c r="AN4" i="3" s="1"/>
  <c r="Q4" i="3"/>
  <c r="AM4" i="3" s="1"/>
  <c r="AM16" i="3" s="1"/>
  <c r="P4" i="3"/>
  <c r="AL4" i="3" s="1"/>
  <c r="O4" i="3"/>
  <c r="AL18" i="2"/>
  <c r="AL19" i="2"/>
  <c r="AS4" i="2"/>
  <c r="AL4" i="2"/>
  <c r="O15" i="2"/>
  <c r="O14" i="2"/>
  <c r="AM14" i="2" s="1"/>
  <c r="AV12" i="2"/>
  <c r="O13" i="2"/>
  <c r="O12" i="2"/>
  <c r="O11" i="2"/>
  <c r="O10" i="2"/>
  <c r="AL10" i="2" s="1"/>
  <c r="O9" i="2"/>
  <c r="AN9" i="2" s="1"/>
  <c r="O8" i="2"/>
  <c r="O7" i="2"/>
  <c r="AD7" i="2" s="1"/>
  <c r="AO7" i="2" s="1"/>
  <c r="O6" i="2"/>
  <c r="AL6" i="2" s="1"/>
  <c r="O5" i="2"/>
  <c r="AQ5" i="2" s="1"/>
  <c r="O4" i="2"/>
  <c r="P35" i="2"/>
  <c r="P4" i="2"/>
  <c r="Q4" i="2"/>
  <c r="R4" i="2"/>
  <c r="S4" i="2"/>
  <c r="T4" i="2"/>
  <c r="U4" i="2"/>
  <c r="V4" i="2"/>
  <c r="W4" i="2"/>
  <c r="X4" i="2"/>
  <c r="Y4" i="2"/>
  <c r="Z4" i="2"/>
  <c r="AB4" i="2"/>
  <c r="AM4" i="2" s="1"/>
  <c r="AC4" i="2"/>
  <c r="AN4" i="2" s="1"/>
  <c r="AD4" i="2"/>
  <c r="AO4" i="2" s="1"/>
  <c r="AE4" i="2"/>
  <c r="AP4" i="2" s="1"/>
  <c r="AG4" i="2"/>
  <c r="AR4" i="2" s="1"/>
  <c r="AH4" i="2"/>
  <c r="AI4" i="2"/>
  <c r="AT4" i="2" s="1"/>
  <c r="AJ4" i="2"/>
  <c r="AU4" i="2" s="1"/>
  <c r="AK4" i="2"/>
  <c r="AV4" i="2" s="1"/>
  <c r="P5" i="2"/>
  <c r="Q5" i="2"/>
  <c r="R5" i="2"/>
  <c r="S5" i="2"/>
  <c r="T5" i="2"/>
  <c r="U5" i="2"/>
  <c r="V5" i="2"/>
  <c r="W5" i="2"/>
  <c r="X5" i="2"/>
  <c r="Y5" i="2"/>
  <c r="Z5" i="2"/>
  <c r="AL5" i="2"/>
  <c r="AB5" i="2"/>
  <c r="AM5" i="2" s="1"/>
  <c r="AC5" i="2"/>
  <c r="AN5" i="2" s="1"/>
  <c r="AD5" i="2"/>
  <c r="AO5" i="2" s="1"/>
  <c r="AE5" i="2"/>
  <c r="AP5" i="2" s="1"/>
  <c r="AH5" i="2"/>
  <c r="AS5" i="2" s="1"/>
  <c r="AI5" i="2"/>
  <c r="AT5" i="2" s="1"/>
  <c r="AJ5" i="2"/>
  <c r="AU5" i="2" s="1"/>
  <c r="AK5" i="2"/>
  <c r="AV5" i="2" s="1"/>
  <c r="P6" i="2"/>
  <c r="Q6" i="2"/>
  <c r="R6" i="2"/>
  <c r="S6" i="2"/>
  <c r="T6" i="2"/>
  <c r="U6" i="2"/>
  <c r="V6" i="2"/>
  <c r="W6" i="2"/>
  <c r="X6" i="2"/>
  <c r="Y6" i="2"/>
  <c r="Z6" i="2"/>
  <c r="AC6" i="2"/>
  <c r="AN6" i="2" s="1"/>
  <c r="AE6" i="2"/>
  <c r="AP6" i="2" s="1"/>
  <c r="AQ6" i="2"/>
  <c r="AR6" i="2"/>
  <c r="AH6" i="2"/>
  <c r="AS6" i="2" s="1"/>
  <c r="AT6" i="2"/>
  <c r="AJ6" i="2"/>
  <c r="AU6" i="2" s="1"/>
  <c r="AK6" i="2"/>
  <c r="AV6" i="2" s="1"/>
  <c r="AO6" i="2"/>
  <c r="P7" i="2"/>
  <c r="Q7" i="2"/>
  <c r="R7" i="2"/>
  <c r="S7" i="2"/>
  <c r="T7" i="2"/>
  <c r="U7" i="2"/>
  <c r="V7" i="2"/>
  <c r="W7" i="2"/>
  <c r="X7" i="2"/>
  <c r="Y7" i="2"/>
  <c r="Z7" i="2"/>
  <c r="AA7" i="2"/>
  <c r="AL7" i="2" s="1"/>
  <c r="AB7" i="2"/>
  <c r="AM7" i="2" s="1"/>
  <c r="AC7" i="2"/>
  <c r="AN7" i="2" s="1"/>
  <c r="AE7" i="2"/>
  <c r="AP7" i="2" s="1"/>
  <c r="AF7" i="2"/>
  <c r="AQ7" i="2" s="1"/>
  <c r="AG7" i="2"/>
  <c r="AR7" i="2" s="1"/>
  <c r="AH7" i="2"/>
  <c r="AS7" i="2" s="1"/>
  <c r="AI7" i="2"/>
  <c r="AT7" i="2" s="1"/>
  <c r="AJ7" i="2"/>
  <c r="AU7" i="2" s="1"/>
  <c r="AK7" i="2"/>
  <c r="AV7" i="2" s="1"/>
  <c r="P8" i="2"/>
  <c r="Q8" i="2"/>
  <c r="R8" i="2"/>
  <c r="S8" i="2"/>
  <c r="T8" i="2"/>
  <c r="U8" i="2"/>
  <c r="V8" i="2"/>
  <c r="W8" i="2"/>
  <c r="X8" i="2"/>
  <c r="Y8" i="2"/>
  <c r="Z8" i="2"/>
  <c r="AL8" i="2"/>
  <c r="AB8" i="2"/>
  <c r="AM8" i="2" s="1"/>
  <c r="AN8" i="2"/>
  <c r="AO8" i="2"/>
  <c r="AP8" i="2"/>
  <c r="AF8" i="2"/>
  <c r="AQ8" i="2" s="1"/>
  <c r="AG8" i="2"/>
  <c r="AR8" i="2" s="1"/>
  <c r="AH8" i="2"/>
  <c r="AS8" i="2" s="1"/>
  <c r="AI8" i="2"/>
  <c r="AT8" i="2" s="1"/>
  <c r="AJ8" i="2"/>
  <c r="AU8" i="2" s="1"/>
  <c r="AK8" i="2"/>
  <c r="AV8" i="2" s="1"/>
  <c r="P9" i="2"/>
  <c r="Q9" i="2"/>
  <c r="R9" i="2"/>
  <c r="S9" i="2"/>
  <c r="T9" i="2"/>
  <c r="U9" i="2"/>
  <c r="V9" i="2"/>
  <c r="W9" i="2"/>
  <c r="X9" i="2"/>
  <c r="Y9" i="2"/>
  <c r="Z9" i="2"/>
  <c r="AL9" i="2"/>
  <c r="AB9" i="2"/>
  <c r="AM9" i="2" s="1"/>
  <c r="AD9" i="2"/>
  <c r="AO9" i="2" s="1"/>
  <c r="AP9" i="2"/>
  <c r="AF9" i="2"/>
  <c r="AQ9" i="2" s="1"/>
  <c r="AG9" i="2"/>
  <c r="AR9" i="2" s="1"/>
  <c r="AH9" i="2"/>
  <c r="AS9" i="2" s="1"/>
  <c r="AT9" i="2"/>
  <c r="AJ9" i="2"/>
  <c r="AU9" i="2" s="1"/>
  <c r="AK9" i="2"/>
  <c r="AV9" i="2" s="1"/>
  <c r="P10" i="2"/>
  <c r="Q10" i="2"/>
  <c r="R10" i="2"/>
  <c r="S10" i="2"/>
  <c r="T10" i="2"/>
  <c r="U10" i="2"/>
  <c r="V10" i="2"/>
  <c r="W10" i="2"/>
  <c r="X10" i="2"/>
  <c r="Y10" i="2"/>
  <c r="Z10" i="2"/>
  <c r="AB10" i="2"/>
  <c r="AM10" i="2" s="1"/>
  <c r="AC10" i="2"/>
  <c r="AN10" i="2" s="1"/>
  <c r="AO10" i="2"/>
  <c r="AE10" i="2"/>
  <c r="AP10" i="2" s="1"/>
  <c r="AQ10" i="2"/>
  <c r="AR10" i="2"/>
  <c r="AI10" i="2"/>
  <c r="AT10" i="2" s="1"/>
  <c r="AU10" i="2"/>
  <c r="AK10" i="2"/>
  <c r="AV10" i="2" s="1"/>
  <c r="AS10" i="2"/>
  <c r="P11" i="2"/>
  <c r="Q11" i="2"/>
  <c r="R11" i="2"/>
  <c r="S11" i="2"/>
  <c r="T11" i="2"/>
  <c r="U11" i="2"/>
  <c r="V11" i="2"/>
  <c r="W11" i="2"/>
  <c r="X11" i="2"/>
  <c r="Y11" i="2"/>
  <c r="Z11" i="2"/>
  <c r="AL11" i="2"/>
  <c r="AM11" i="2"/>
  <c r="AN11" i="2"/>
  <c r="AO11" i="2"/>
  <c r="AP11" i="2"/>
  <c r="AQ11" i="2"/>
  <c r="AR11" i="2"/>
  <c r="AI11" i="2"/>
  <c r="AT11" i="2" s="1"/>
  <c r="AJ11" i="2"/>
  <c r="AU11" i="2" s="1"/>
  <c r="AK11" i="2"/>
  <c r="AV11" i="2" s="1"/>
  <c r="AS11" i="2"/>
  <c r="P12" i="2"/>
  <c r="Q12" i="2"/>
  <c r="R12" i="2"/>
  <c r="S12" i="2"/>
  <c r="T12" i="2"/>
  <c r="U12" i="2"/>
  <c r="V12" i="2"/>
  <c r="W12" i="2"/>
  <c r="X12" i="2"/>
  <c r="Y12" i="2"/>
  <c r="Z12" i="2"/>
  <c r="AL12" i="2"/>
  <c r="AB12" i="2"/>
  <c r="AM12" i="2" s="1"/>
  <c r="AC12" i="2"/>
  <c r="AN12" i="2" s="1"/>
  <c r="AO12" i="2"/>
  <c r="AE12" i="2"/>
  <c r="AP12" i="2" s="1"/>
  <c r="AQ12" i="2"/>
  <c r="AR12" i="2"/>
  <c r="AH12" i="2"/>
  <c r="AS12" i="2" s="1"/>
  <c r="AI12" i="2"/>
  <c r="AT12" i="2" s="1"/>
  <c r="AJ12" i="2"/>
  <c r="AU12" i="2" s="1"/>
  <c r="P13" i="2"/>
  <c r="Q13" i="2"/>
  <c r="R13" i="2"/>
  <c r="S13" i="2"/>
  <c r="T13" i="2"/>
  <c r="U13" i="2"/>
  <c r="V13" i="2"/>
  <c r="W13" i="2"/>
  <c r="X13" i="2"/>
  <c r="Y13" i="2"/>
  <c r="Z13" i="2"/>
  <c r="AL13" i="2"/>
  <c r="AB13" i="2"/>
  <c r="AM13" i="2" s="1"/>
  <c r="AC13" i="2"/>
  <c r="AN13" i="2" s="1"/>
  <c r="AO13" i="2"/>
  <c r="AP13" i="2"/>
  <c r="AQ13" i="2"/>
  <c r="AR13" i="2"/>
  <c r="AH13" i="2"/>
  <c r="AS13" i="2" s="1"/>
  <c r="AI13" i="2"/>
  <c r="AT13" i="2" s="1"/>
  <c r="AU13" i="2"/>
  <c r="AK13" i="2"/>
  <c r="AV13" i="2" s="1"/>
  <c r="P14" i="2"/>
  <c r="Q14" i="2"/>
  <c r="R14" i="2"/>
  <c r="S14" i="2"/>
  <c r="T14" i="2"/>
  <c r="U14" i="2"/>
  <c r="V14" i="2"/>
  <c r="W14" i="2"/>
  <c r="X14" i="2"/>
  <c r="Y14" i="2"/>
  <c r="Z14" i="2"/>
  <c r="AL14" i="2"/>
  <c r="AC14" i="2"/>
  <c r="AN14" i="2" s="1"/>
  <c r="AP14" i="2"/>
  <c r="AT14" i="2"/>
  <c r="AK14" i="2"/>
  <c r="AV14" i="2" s="1"/>
  <c r="P15" i="2"/>
  <c r="Q15" i="2"/>
  <c r="R15" i="2"/>
  <c r="S15" i="2"/>
  <c r="T15" i="2"/>
  <c r="U15" i="2"/>
  <c r="V15" i="2"/>
  <c r="W15" i="2"/>
  <c r="X15" i="2"/>
  <c r="Y15" i="2"/>
  <c r="Z15" i="2"/>
  <c r="AL15" i="2"/>
  <c r="AM15" i="2"/>
  <c r="AC15" i="2"/>
  <c r="AN15" i="2" s="1"/>
  <c r="AO15" i="2"/>
  <c r="AP15" i="2"/>
  <c r="AQ15" i="2"/>
  <c r="AG15" i="2"/>
  <c r="AR15" i="2" s="1"/>
  <c r="AS15" i="2"/>
  <c r="AT15" i="2"/>
  <c r="AU15" i="2"/>
  <c r="AK15" i="2"/>
  <c r="AV15" i="2" s="1"/>
  <c r="AN16" i="3" l="1"/>
  <c r="AP16" i="3"/>
  <c r="AV16" i="3"/>
  <c r="AU16" i="3"/>
  <c r="AT16" i="3"/>
  <c r="AS16" i="3"/>
  <c r="AR7" i="3"/>
  <c r="AR16" i="3" s="1"/>
  <c r="AO7" i="3"/>
  <c r="AO16" i="3" s="1"/>
  <c r="AL7" i="3"/>
  <c r="AL16" i="3" s="1"/>
  <c r="AQ7" i="3"/>
  <c r="AQ16" i="3" s="1"/>
  <c r="AO14" i="2"/>
  <c r="AO16" i="2" s="1"/>
  <c r="AS14" i="2"/>
  <c r="AR14" i="2"/>
  <c r="AU14" i="2"/>
  <c r="AU16" i="2" s="1"/>
  <c r="AQ14" i="2"/>
  <c r="AM6" i="2"/>
  <c r="AR5" i="2"/>
  <c r="AM16" i="2"/>
  <c r="AP16" i="2"/>
  <c r="AS16" i="2"/>
  <c r="AQ4" i="2"/>
  <c r="AN16" i="2"/>
  <c r="AL16" i="2"/>
  <c r="AT16" i="2"/>
  <c r="AV16" i="2"/>
  <c r="AL19" i="3" l="1"/>
  <c r="AL18" i="3"/>
  <c r="AR16" i="2"/>
  <c r="AQ16" i="2"/>
</calcChain>
</file>

<file path=xl/sharedStrings.xml><?xml version="1.0" encoding="utf-8"?>
<sst xmlns="http://schemas.openxmlformats.org/spreadsheetml/2006/main" count="44" uniqueCount="22">
  <si>
    <t>WGR</t>
  </si>
  <si>
    <t>I</t>
  </si>
  <si>
    <t>A</t>
  </si>
  <si>
    <t>B</t>
  </si>
  <si>
    <t>C</t>
  </si>
  <si>
    <t>D</t>
  </si>
  <si>
    <t>E</t>
  </si>
  <si>
    <t>F</t>
  </si>
  <si>
    <t>G</t>
  </si>
  <si>
    <t>RECIPE</t>
  </si>
  <si>
    <t>utilization (%)</t>
  </si>
  <si>
    <t>WGR Assigned (wafer)</t>
  </si>
  <si>
    <t>machine availability (minutes)</t>
  </si>
  <si>
    <t>tool processing time (min/wafer)</t>
  </si>
  <si>
    <t>(wafer)</t>
  </si>
  <si>
    <t>1,2,3,4 is different tootype,config but still able to process same recipe,only different processtime</t>
  </si>
  <si>
    <t>demand</t>
  </si>
  <si>
    <t>H</t>
  </si>
  <si>
    <t>J</t>
  </si>
  <si>
    <t>K</t>
  </si>
  <si>
    <t>L</t>
  </si>
  <si>
    <t xml:space="preserve">To asign particular recipe with correct allocation of WGR in order to get minimum a utilisation for each tool to reduce capex. Utilization can't exceed 1 (to avoid investment)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</si>
</sst>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7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1" fontId="1" fillId="5" borderId="0" xfId="0" applyNumberFormat="1" applyFont="1" applyFill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0" xfId="0" applyFont="1" applyFill="1"/>
    <xf numFmtId="0" fontId="1" fillId="7" borderId="0" xfId="0" applyFont="1" applyFill="1" applyAlignment="1">
      <alignment horizontal="center"/>
    </xf>
    <xf numFmtId="10" fontId="1" fillId="3" borderId="0" xfId="1" applyNumberFormat="1" applyFont="1" applyFill="1"/>
    <xf numFmtId="0" fontId="1" fillId="7" borderId="2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9" fontId="1" fillId="0" borderId="0" xfId="0" applyNumberFormat="1" applyFont="1"/>
    <xf numFmtId="10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justify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data!$AL$16:$AV$16</c:f>
              <c:numCache>
                <c:formatCode>0.00%</c:formatCode>
                <c:ptCount val="11"/>
                <c:pt idx="0">
                  <c:v>0.63068918650793648</c:v>
                </c:pt>
                <c:pt idx="1">
                  <c:v>0.1807452380952381</c:v>
                </c:pt>
                <c:pt idx="2">
                  <c:v>0.28095763888888892</c:v>
                </c:pt>
                <c:pt idx="3">
                  <c:v>0.77517708333333324</c:v>
                </c:pt>
                <c:pt idx="4">
                  <c:v>1.0068680555555556</c:v>
                </c:pt>
                <c:pt idx="5">
                  <c:v>2.0155266865079366</c:v>
                </c:pt>
                <c:pt idx="6">
                  <c:v>1.6152394841269839</c:v>
                </c:pt>
                <c:pt idx="7">
                  <c:v>0.69429017857142861</c:v>
                </c:pt>
                <c:pt idx="8">
                  <c:v>1.0228450396825397</c:v>
                </c:pt>
                <c:pt idx="9">
                  <c:v>1.1603445436507938</c:v>
                </c:pt>
                <c:pt idx="10">
                  <c:v>0.39274285714285712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F3-7446-A01C-1D5B83A75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7657871"/>
        <c:axId val="620724303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data!$AL$17:$AV$17</c:f>
              <c:numCache>
                <c:formatCode>0%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F3-7446-A01C-1D5B83A75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7657871"/>
        <c:axId val="620724303"/>
      </c:lineChart>
      <c:catAx>
        <c:axId val="587657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Machine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724303"/>
        <c:crosses val="autoZero"/>
        <c:auto val="1"/>
        <c:lblAlgn val="ctr"/>
        <c:lblOffset val="100"/>
        <c:noMultiLvlLbl val="0"/>
      </c:catAx>
      <c:valAx>
        <c:axId val="62072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Utilization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309432779235928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65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testing!$AL$16:$AV$16</c:f>
              <c:numCache>
                <c:formatCode>0.00%</c:formatCode>
                <c:ptCount val="11"/>
                <c:pt idx="0">
                  <c:v>0.69456349206349211</c:v>
                </c:pt>
                <c:pt idx="1">
                  <c:v>0.69456031746031743</c:v>
                </c:pt>
                <c:pt idx="2">
                  <c:v>0.69456537698412701</c:v>
                </c:pt>
                <c:pt idx="3">
                  <c:v>0.69459613095238093</c:v>
                </c:pt>
                <c:pt idx="4">
                  <c:v>0.69455634920634923</c:v>
                </c:pt>
                <c:pt idx="5">
                  <c:v>0.69456011904761905</c:v>
                </c:pt>
                <c:pt idx="6">
                  <c:v>0.69456567460317464</c:v>
                </c:pt>
                <c:pt idx="7">
                  <c:v>0.69453948412698407</c:v>
                </c:pt>
                <c:pt idx="8">
                  <c:v>0.69455585317460311</c:v>
                </c:pt>
                <c:pt idx="9">
                  <c:v>0.69456488095238089</c:v>
                </c:pt>
                <c:pt idx="10">
                  <c:v>0.69444642857142858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E0-CD40-AE37-5B468AED2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7657871"/>
        <c:axId val="620724303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testing!$AL$17:$AV$17</c:f>
              <c:numCache>
                <c:formatCode>0%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E0-CD40-AE37-5B468AED2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7657871"/>
        <c:axId val="620724303"/>
      </c:lineChart>
      <c:catAx>
        <c:axId val="587657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Machine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724303"/>
        <c:crosses val="autoZero"/>
        <c:auto val="1"/>
        <c:lblAlgn val="ctr"/>
        <c:lblOffset val="100"/>
        <c:noMultiLvlLbl val="0"/>
      </c:catAx>
      <c:valAx>
        <c:axId val="62072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Utilization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309432779235928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65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33618</xdr:colOff>
      <xdr:row>17</xdr:row>
      <xdr:rowOff>33617</xdr:rowOff>
    </xdr:from>
    <xdr:to>
      <xdr:col>35</xdr:col>
      <xdr:colOff>347383</xdr:colOff>
      <xdr:row>21</xdr:row>
      <xdr:rowOff>168088</xdr:rowOff>
    </xdr:to>
    <xdr:sp macro="" textlink="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C3EC05E7-7E23-47A0-9719-E4947946F8D9}"/>
            </a:ext>
          </a:extLst>
        </xdr:cNvPr>
        <xdr:cNvSpPr/>
      </xdr:nvSpPr>
      <xdr:spPr>
        <a:xfrm>
          <a:off x="20556818" y="3164167"/>
          <a:ext cx="2237815" cy="871071"/>
        </a:xfrm>
        <a:prstGeom prst="wedgeRoundRectCallout">
          <a:avLst>
            <a:gd name="adj1" fmla="val 100237"/>
            <a:gd name="adj2" fmla="val -69079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100"/>
            <a:t>target</a:t>
          </a:r>
          <a:r>
            <a:rPr lang="en-MY" sz="1100" baseline="0"/>
            <a:t> is Minimum value and more less same value accross the tool</a:t>
          </a:r>
          <a:endParaRPr lang="en-MY" sz="1100"/>
        </a:p>
      </xdr:txBody>
    </xdr:sp>
    <xdr:clientData/>
  </xdr:twoCellAnchor>
  <xdr:twoCellAnchor>
    <xdr:from>
      <xdr:col>23</xdr:col>
      <xdr:colOff>376518</xdr:colOff>
      <xdr:row>19</xdr:row>
      <xdr:rowOff>118782</xdr:rowOff>
    </xdr:from>
    <xdr:to>
      <xdr:col>27</xdr:col>
      <xdr:colOff>85166</xdr:colOff>
      <xdr:row>24</xdr:row>
      <xdr:rowOff>73959</xdr:rowOff>
    </xdr:to>
    <xdr:sp macro="" textlink="">
      <xdr:nvSpPr>
        <xdr:cNvPr id="3" name="Speech Bubble: Rectangle with Corners Rounded 2">
          <a:extLst>
            <a:ext uri="{FF2B5EF4-FFF2-40B4-BE49-F238E27FC236}">
              <a16:creationId xmlns:a16="http://schemas.microsoft.com/office/drawing/2014/main" id="{4FB76B32-C95B-4929-8632-BE4159E25F8B}"/>
            </a:ext>
          </a:extLst>
        </xdr:cNvPr>
        <xdr:cNvSpPr/>
      </xdr:nvSpPr>
      <xdr:spPr>
        <a:xfrm>
          <a:off x="15127568" y="3617632"/>
          <a:ext cx="2274048" cy="875927"/>
        </a:xfrm>
        <a:prstGeom prst="wedgeRoundRectCallout">
          <a:avLst>
            <a:gd name="adj1" fmla="val 100237"/>
            <a:gd name="adj2" fmla="val -151974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100"/>
            <a:t> By chaning</a:t>
          </a:r>
          <a:r>
            <a:rPr lang="en-MY" sz="1100" baseline="0"/>
            <a:t> this WGR value assigned</a:t>
          </a:r>
          <a:endParaRPr lang="en-MY" sz="1100"/>
        </a:p>
      </xdr:txBody>
    </xdr:sp>
    <xdr:clientData/>
  </xdr:twoCellAnchor>
  <xdr:twoCellAnchor>
    <xdr:from>
      <xdr:col>0</xdr:col>
      <xdr:colOff>448235</xdr:colOff>
      <xdr:row>10</xdr:row>
      <xdr:rowOff>14942</xdr:rowOff>
    </xdr:from>
    <xdr:to>
      <xdr:col>1</xdr:col>
      <xdr:colOff>410882</xdr:colOff>
      <xdr:row>13</xdr:row>
      <xdr:rowOff>59765</xdr:rowOff>
    </xdr:to>
    <xdr:sp macro="" textlink="">
      <xdr:nvSpPr>
        <xdr:cNvPr id="4" name="Speech Bubble: Rectangle 3">
          <a:extLst>
            <a:ext uri="{FF2B5EF4-FFF2-40B4-BE49-F238E27FC236}">
              <a16:creationId xmlns:a16="http://schemas.microsoft.com/office/drawing/2014/main" id="{E28AC95E-687C-9436-3845-DB2D93F200CD}"/>
            </a:ext>
          </a:extLst>
        </xdr:cNvPr>
        <xdr:cNvSpPr/>
      </xdr:nvSpPr>
      <xdr:spPr>
        <a:xfrm>
          <a:off x="448235" y="1807883"/>
          <a:ext cx="1045882" cy="582706"/>
        </a:xfrm>
        <a:prstGeom prst="wedgeRectCallout">
          <a:avLst>
            <a:gd name="adj1" fmla="val 272738"/>
            <a:gd name="adj2" fmla="val -233654"/>
          </a:avLst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100">
              <a:solidFill>
                <a:schemeClr val="tx1"/>
              </a:solidFill>
            </a:rPr>
            <a:t>tool</a:t>
          </a:r>
          <a:r>
            <a:rPr lang="en-MY" sz="1100" baseline="0">
              <a:solidFill>
                <a:schemeClr val="tx1"/>
              </a:solidFill>
            </a:rPr>
            <a:t> can't run the recipe</a:t>
          </a:r>
        </a:p>
        <a:p>
          <a:pPr algn="l"/>
          <a:r>
            <a:rPr lang="en-MY" sz="1100" baseline="0">
              <a:solidFill>
                <a:schemeClr val="tx1"/>
              </a:solidFill>
            </a:rPr>
            <a:t>`</a:t>
          </a:r>
          <a:endParaRPr lang="en-MY" sz="1100">
            <a:solidFill>
              <a:schemeClr val="tx1"/>
            </a:solidFill>
          </a:endParaRPr>
        </a:p>
      </xdr:txBody>
    </xdr:sp>
    <xdr:clientData/>
  </xdr:twoCellAnchor>
  <xdr:twoCellAnchor>
    <xdr:from>
      <xdr:col>37</xdr:col>
      <xdr:colOff>388326</xdr:colOff>
      <xdr:row>21</xdr:row>
      <xdr:rowOff>36797</xdr:rowOff>
    </xdr:from>
    <xdr:to>
      <xdr:col>44</xdr:col>
      <xdr:colOff>59429</xdr:colOff>
      <xdr:row>36</xdr:row>
      <xdr:rowOff>93459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02DF0EC-1D0D-0AF1-A845-FC5D55C4E5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33618</xdr:colOff>
      <xdr:row>17</xdr:row>
      <xdr:rowOff>33617</xdr:rowOff>
    </xdr:from>
    <xdr:to>
      <xdr:col>35</xdr:col>
      <xdr:colOff>347383</xdr:colOff>
      <xdr:row>21</xdr:row>
      <xdr:rowOff>168088</xdr:rowOff>
    </xdr:to>
    <xdr:sp macro="" textlink="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DE05B8AA-BB5A-DB41-874A-3CDF14C9A5EB}"/>
            </a:ext>
          </a:extLst>
        </xdr:cNvPr>
        <xdr:cNvSpPr/>
      </xdr:nvSpPr>
      <xdr:spPr>
        <a:xfrm>
          <a:off x="21801418" y="3056217"/>
          <a:ext cx="2409265" cy="845671"/>
        </a:xfrm>
        <a:prstGeom prst="wedgeRoundRectCallout">
          <a:avLst>
            <a:gd name="adj1" fmla="val 100237"/>
            <a:gd name="adj2" fmla="val -69079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100"/>
            <a:t>target</a:t>
          </a:r>
          <a:r>
            <a:rPr lang="en-MY" sz="1100" baseline="0"/>
            <a:t> is Minimum value and more less same value accross the tool</a:t>
          </a:r>
          <a:endParaRPr lang="en-MY" sz="1100"/>
        </a:p>
      </xdr:txBody>
    </xdr:sp>
    <xdr:clientData/>
  </xdr:twoCellAnchor>
  <xdr:twoCellAnchor>
    <xdr:from>
      <xdr:col>23</xdr:col>
      <xdr:colOff>376518</xdr:colOff>
      <xdr:row>19</xdr:row>
      <xdr:rowOff>118782</xdr:rowOff>
    </xdr:from>
    <xdr:to>
      <xdr:col>27</xdr:col>
      <xdr:colOff>85166</xdr:colOff>
      <xdr:row>24</xdr:row>
      <xdr:rowOff>73959</xdr:rowOff>
    </xdr:to>
    <xdr:sp macro="" textlink="">
      <xdr:nvSpPr>
        <xdr:cNvPr id="3" name="Speech Bubble: Rectangle with Corners Rounded 2">
          <a:extLst>
            <a:ext uri="{FF2B5EF4-FFF2-40B4-BE49-F238E27FC236}">
              <a16:creationId xmlns:a16="http://schemas.microsoft.com/office/drawing/2014/main" id="{C1CD4A97-D68C-CC4E-A5F8-2F38A17514FB}"/>
            </a:ext>
          </a:extLst>
        </xdr:cNvPr>
        <xdr:cNvSpPr/>
      </xdr:nvSpPr>
      <xdr:spPr>
        <a:xfrm>
          <a:off x="15857818" y="3496982"/>
          <a:ext cx="2502648" cy="844177"/>
        </a:xfrm>
        <a:prstGeom prst="wedgeRoundRectCallout">
          <a:avLst>
            <a:gd name="adj1" fmla="val 100237"/>
            <a:gd name="adj2" fmla="val -151974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100"/>
            <a:t> By chaning</a:t>
          </a:r>
          <a:r>
            <a:rPr lang="en-MY" sz="1100" baseline="0"/>
            <a:t> this WGR value assigned</a:t>
          </a:r>
          <a:endParaRPr lang="en-MY" sz="1100"/>
        </a:p>
      </xdr:txBody>
    </xdr:sp>
    <xdr:clientData/>
  </xdr:twoCellAnchor>
  <xdr:twoCellAnchor>
    <xdr:from>
      <xdr:col>0</xdr:col>
      <xdr:colOff>448235</xdr:colOff>
      <xdr:row>10</xdr:row>
      <xdr:rowOff>14942</xdr:rowOff>
    </xdr:from>
    <xdr:to>
      <xdr:col>1</xdr:col>
      <xdr:colOff>410882</xdr:colOff>
      <xdr:row>13</xdr:row>
      <xdr:rowOff>59765</xdr:rowOff>
    </xdr:to>
    <xdr:sp macro="" textlink="">
      <xdr:nvSpPr>
        <xdr:cNvPr id="4" name="Speech Bubble: Rectangle 3">
          <a:extLst>
            <a:ext uri="{FF2B5EF4-FFF2-40B4-BE49-F238E27FC236}">
              <a16:creationId xmlns:a16="http://schemas.microsoft.com/office/drawing/2014/main" id="{523F6A6D-3DD4-1E40-9080-E33C06C04D45}"/>
            </a:ext>
          </a:extLst>
        </xdr:cNvPr>
        <xdr:cNvSpPr/>
      </xdr:nvSpPr>
      <xdr:spPr>
        <a:xfrm>
          <a:off x="448235" y="1792942"/>
          <a:ext cx="1143747" cy="578223"/>
        </a:xfrm>
        <a:prstGeom prst="wedgeRectCallout">
          <a:avLst>
            <a:gd name="adj1" fmla="val 272738"/>
            <a:gd name="adj2" fmla="val -233654"/>
          </a:avLst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100">
              <a:solidFill>
                <a:schemeClr val="tx1"/>
              </a:solidFill>
            </a:rPr>
            <a:t>tool</a:t>
          </a:r>
          <a:r>
            <a:rPr lang="en-MY" sz="1100" baseline="0">
              <a:solidFill>
                <a:schemeClr val="tx1"/>
              </a:solidFill>
            </a:rPr>
            <a:t> can't run the recipe</a:t>
          </a:r>
        </a:p>
        <a:p>
          <a:pPr algn="l"/>
          <a:r>
            <a:rPr lang="en-MY" sz="1100" baseline="0">
              <a:solidFill>
                <a:schemeClr val="tx1"/>
              </a:solidFill>
            </a:rPr>
            <a:t>`</a:t>
          </a:r>
          <a:endParaRPr lang="en-MY" sz="1100">
            <a:solidFill>
              <a:schemeClr val="tx1"/>
            </a:solidFill>
          </a:endParaRPr>
        </a:p>
      </xdr:txBody>
    </xdr:sp>
    <xdr:clientData/>
  </xdr:twoCellAnchor>
  <xdr:twoCellAnchor>
    <xdr:from>
      <xdr:col>37</xdr:col>
      <xdr:colOff>388326</xdr:colOff>
      <xdr:row>21</xdr:row>
      <xdr:rowOff>36797</xdr:rowOff>
    </xdr:from>
    <xdr:to>
      <xdr:col>44</xdr:col>
      <xdr:colOff>59429</xdr:colOff>
      <xdr:row>36</xdr:row>
      <xdr:rowOff>93459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9EFBA2F-1BA7-B444-BC02-3855AD0168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339C7-432E-462C-B2FE-2A10BF6A2C79}">
  <dimension ref="C1:AV35"/>
  <sheetViews>
    <sheetView topLeftCell="T1" zoomScale="156" zoomScaleNormal="85" workbookViewId="0">
      <selection activeCell="AG27" sqref="AG27"/>
    </sheetView>
  </sheetViews>
  <sheetFormatPr baseColWidth="10" defaultColWidth="9.1640625" defaultRowHeight="14" x14ac:dyDescent="0.15"/>
  <cols>
    <col min="1" max="1" width="15.5" style="1" bestFit="1" customWidth="1"/>
    <col min="2" max="2" width="13.5" style="1" bestFit="1" customWidth="1"/>
    <col min="3" max="3" width="16.5" style="1" bestFit="1" customWidth="1"/>
    <col min="4" max="14" width="6.6640625" style="1" bestFit="1" customWidth="1"/>
    <col min="15" max="15" width="11" style="1" bestFit="1" customWidth="1"/>
    <col min="16" max="16384" width="9.1640625" style="1"/>
  </cols>
  <sheetData>
    <row r="1" spans="3:48" x14ac:dyDescent="0.15">
      <c r="D1" s="1" t="s">
        <v>15</v>
      </c>
    </row>
    <row r="2" spans="3:48" x14ac:dyDescent="0.15">
      <c r="D2" s="33" t="s">
        <v>13</v>
      </c>
      <c r="E2" s="33"/>
      <c r="F2" s="33"/>
      <c r="G2" s="33"/>
      <c r="H2" s="33"/>
      <c r="I2" s="33"/>
      <c r="J2" s="33"/>
      <c r="K2" s="33"/>
      <c r="L2" s="33"/>
      <c r="M2" s="33"/>
      <c r="N2" s="33"/>
      <c r="O2" s="2" t="s">
        <v>14</v>
      </c>
      <c r="P2" s="32" t="s">
        <v>12</v>
      </c>
      <c r="Q2" s="32"/>
      <c r="R2" s="32"/>
      <c r="S2" s="32"/>
      <c r="T2" s="32"/>
      <c r="U2" s="32"/>
      <c r="V2" s="32"/>
      <c r="W2" s="32"/>
      <c r="X2" s="32"/>
      <c r="Y2" s="32"/>
      <c r="Z2" s="32"/>
      <c r="AA2" s="32" t="s">
        <v>11</v>
      </c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 t="s">
        <v>10</v>
      </c>
      <c r="AM2" s="32"/>
      <c r="AN2" s="32"/>
      <c r="AO2" s="32"/>
      <c r="AP2" s="32"/>
      <c r="AQ2" s="32"/>
      <c r="AR2" s="32"/>
      <c r="AS2" s="32"/>
      <c r="AT2" s="32"/>
      <c r="AU2" s="32"/>
      <c r="AV2" s="32"/>
    </row>
    <row r="3" spans="3:48" x14ac:dyDescent="0.15">
      <c r="C3" s="29" t="s">
        <v>9</v>
      </c>
      <c r="D3" s="18">
        <v>1</v>
      </c>
      <c r="E3" s="19">
        <v>2</v>
      </c>
      <c r="F3" s="19">
        <v>3</v>
      </c>
      <c r="G3" s="19">
        <v>4</v>
      </c>
      <c r="H3" s="19">
        <v>5</v>
      </c>
      <c r="I3" s="19">
        <v>6</v>
      </c>
      <c r="J3" s="19">
        <v>7</v>
      </c>
      <c r="K3" s="19">
        <v>8</v>
      </c>
      <c r="L3" s="19">
        <v>9</v>
      </c>
      <c r="M3" s="19">
        <v>10</v>
      </c>
      <c r="N3" s="20">
        <v>11</v>
      </c>
      <c r="O3" s="21" t="s">
        <v>0</v>
      </c>
      <c r="P3" s="18">
        <v>1</v>
      </c>
      <c r="Q3" s="19">
        <v>2</v>
      </c>
      <c r="R3" s="19">
        <v>3</v>
      </c>
      <c r="S3" s="19">
        <v>4</v>
      </c>
      <c r="T3" s="19">
        <v>5</v>
      </c>
      <c r="U3" s="19">
        <v>6</v>
      </c>
      <c r="V3" s="19">
        <v>7</v>
      </c>
      <c r="W3" s="19">
        <v>8</v>
      </c>
      <c r="X3" s="19">
        <v>9</v>
      </c>
      <c r="Y3" s="19">
        <v>10</v>
      </c>
      <c r="Z3" s="20">
        <v>11</v>
      </c>
      <c r="AA3" s="22">
        <v>1</v>
      </c>
      <c r="AB3" s="22">
        <v>2</v>
      </c>
      <c r="AC3" s="22">
        <v>3</v>
      </c>
      <c r="AD3" s="22">
        <v>4</v>
      </c>
      <c r="AE3" s="22">
        <v>5</v>
      </c>
      <c r="AF3" s="22">
        <v>6</v>
      </c>
      <c r="AG3" s="22">
        <v>7</v>
      </c>
      <c r="AH3" s="22">
        <v>8</v>
      </c>
      <c r="AI3" s="22">
        <v>9</v>
      </c>
      <c r="AJ3" s="22">
        <v>10</v>
      </c>
      <c r="AK3" s="22">
        <v>11</v>
      </c>
      <c r="AL3" s="23">
        <v>1</v>
      </c>
      <c r="AM3" s="23">
        <v>2</v>
      </c>
      <c r="AN3" s="23">
        <v>3</v>
      </c>
      <c r="AO3" s="23">
        <v>4</v>
      </c>
      <c r="AP3" s="23">
        <v>5</v>
      </c>
      <c r="AQ3" s="23">
        <v>6</v>
      </c>
      <c r="AR3" s="23">
        <v>7</v>
      </c>
      <c r="AS3" s="23">
        <v>8</v>
      </c>
      <c r="AT3" s="23">
        <v>9</v>
      </c>
      <c r="AU3" s="23">
        <v>10</v>
      </c>
      <c r="AV3" s="23">
        <v>11</v>
      </c>
    </row>
    <row r="4" spans="3:48" x14ac:dyDescent="0.15">
      <c r="C4" s="2" t="s">
        <v>2</v>
      </c>
      <c r="D4" s="11">
        <v>0.253</v>
      </c>
      <c r="E4" s="24"/>
      <c r="F4" s="24"/>
      <c r="G4" s="24"/>
      <c r="H4" s="24"/>
      <c r="I4" s="12">
        <v>0.94599999999999995</v>
      </c>
      <c r="J4" s="24"/>
      <c r="K4" s="24"/>
      <c r="L4" s="24"/>
      <c r="M4" s="24"/>
      <c r="N4" s="27"/>
      <c r="O4" s="3">
        <f>19000/2</f>
        <v>9500</v>
      </c>
      <c r="P4" s="5">
        <f t="shared" ref="P4:Z15" si="0">24*60*7</f>
        <v>10080</v>
      </c>
      <c r="Q4" s="6">
        <f t="shared" si="0"/>
        <v>10080</v>
      </c>
      <c r="R4" s="6">
        <f t="shared" si="0"/>
        <v>10080</v>
      </c>
      <c r="S4" s="6">
        <f t="shared" si="0"/>
        <v>10080</v>
      </c>
      <c r="T4" s="6">
        <f t="shared" si="0"/>
        <v>10080</v>
      </c>
      <c r="U4" s="6">
        <f t="shared" si="0"/>
        <v>10080</v>
      </c>
      <c r="V4" s="6">
        <f t="shared" si="0"/>
        <v>10080</v>
      </c>
      <c r="W4" s="6">
        <f t="shared" si="0"/>
        <v>10080</v>
      </c>
      <c r="X4" s="6">
        <f t="shared" si="0"/>
        <v>10080</v>
      </c>
      <c r="Y4" s="6">
        <f t="shared" si="0"/>
        <v>10080</v>
      </c>
      <c r="Z4" s="7">
        <f t="shared" si="0"/>
        <v>10080</v>
      </c>
      <c r="AA4" s="16">
        <v>3828</v>
      </c>
      <c r="AB4" s="16" t="str">
        <f t="shared" ref="AB4:AB13" si="1">IF(E4&gt;0,$O4/(COUNT($D4:$N4)),"")</f>
        <v/>
      </c>
      <c r="AC4" s="16" t="str">
        <f t="shared" ref="AC4:AC15" si="2">IF(F4&gt;0,$O4/(COUNT($D4:$N4)),"")</f>
        <v/>
      </c>
      <c r="AD4" s="16" t="str">
        <f t="shared" ref="AD4:AD9" si="3">IF(G4&gt;0,$O4/(COUNT($D4:$N4)),"")</f>
        <v/>
      </c>
      <c r="AE4" s="16" t="str">
        <f t="shared" ref="AE4:AE12" si="4">IF(H4&gt;0,$O4/(COUNT($D4:$N4)),"")</f>
        <v/>
      </c>
      <c r="AF4" s="16">
        <v>5672</v>
      </c>
      <c r="AG4" s="16" t="str">
        <f t="shared" ref="AG4:AG15" si="5">IF(J4&gt;0,$O4/(COUNT($D4:$N4)),"")</f>
        <v/>
      </c>
      <c r="AH4" s="16" t="str">
        <f t="shared" ref="AH4:AH13" si="6">IF(K4&gt;0,$O4/(COUNT($D4:$N4)),"")</f>
        <v/>
      </c>
      <c r="AI4" s="16" t="str">
        <f t="shared" ref="AI4:AI13" si="7">IF(L4&gt;0,$O4/(COUNT($D4:$N4)),"")</f>
        <v/>
      </c>
      <c r="AJ4" s="16" t="str">
        <f t="shared" ref="AJ4:AJ12" si="8">IF(M4&gt;0,$O4/(COUNT($D4:$N4)),"")</f>
        <v/>
      </c>
      <c r="AK4" s="16" t="str">
        <f t="shared" ref="AK4:AK15" si="9">IF(N4&gt;0,$O4/(COUNT($D4:$N4)),"")</f>
        <v/>
      </c>
      <c r="AL4" s="25">
        <f t="shared" ref="AL4:AL15" si="10">IFERROR(D4*AA4/P4,"")</f>
        <v>9.6079761904761904E-2</v>
      </c>
      <c r="AM4" s="25" t="str">
        <f t="shared" ref="AM4:AM15" si="11">IFERROR(E4*AB4/Q4,"")</f>
        <v/>
      </c>
      <c r="AN4" s="25" t="str">
        <f t="shared" ref="AN4:AN15" si="12">IFERROR(F4*AC4/R4,"")</f>
        <v/>
      </c>
      <c r="AO4" s="25" t="str">
        <f t="shared" ref="AO4:AO15" si="13">IFERROR(G4*AD4/S4,"")</f>
        <v/>
      </c>
      <c r="AP4" s="25" t="str">
        <f t="shared" ref="AP4:AP15" si="14">IFERROR(H4*AE4/T4,"")</f>
        <v/>
      </c>
      <c r="AQ4" s="25">
        <f t="shared" ref="AQ4:AQ15" si="15">IFERROR(I4*AF4/U4,"")</f>
        <v>0.53231269841269835</v>
      </c>
      <c r="AR4" s="25" t="str">
        <f t="shared" ref="AR4:AR15" si="16">IFERROR(J4*AG4/V4,"")</f>
        <v/>
      </c>
      <c r="AS4" s="25" t="str">
        <f t="shared" ref="AS4:AS15" si="17">IFERROR(K4*AH4/W4,"")</f>
        <v/>
      </c>
      <c r="AT4" s="25" t="str">
        <f t="shared" ref="AT4:AT15" si="18">IFERROR(L4*AI4/X4,"")</f>
        <v/>
      </c>
      <c r="AU4" s="25" t="str">
        <f t="shared" ref="AU4:AU15" si="19">IFERROR(M4*AJ4/Y4,"")</f>
        <v/>
      </c>
      <c r="AV4" s="25" t="str">
        <f t="shared" ref="AV4:AV15" si="20">IFERROR(N4*AK4/Z4,"")</f>
        <v/>
      </c>
    </row>
    <row r="5" spans="3:48" x14ac:dyDescent="0.15">
      <c r="C5" s="2" t="s">
        <v>3</v>
      </c>
      <c r="D5" s="11">
        <v>0.26900000000000002</v>
      </c>
      <c r="E5" s="24"/>
      <c r="F5" s="24"/>
      <c r="G5" s="24"/>
      <c r="H5" s="24"/>
      <c r="I5" s="12">
        <v>0.86799999999999999</v>
      </c>
      <c r="J5" s="12">
        <v>1.016</v>
      </c>
      <c r="K5" s="24"/>
      <c r="L5" s="24"/>
      <c r="M5" s="24"/>
      <c r="N5" s="27"/>
      <c r="O5" s="3">
        <f>18700/2</f>
        <v>9350</v>
      </c>
      <c r="P5" s="5">
        <f t="shared" si="0"/>
        <v>10080</v>
      </c>
      <c r="Q5" s="6">
        <f t="shared" si="0"/>
        <v>10080</v>
      </c>
      <c r="R5" s="6">
        <f t="shared" si="0"/>
        <v>10080</v>
      </c>
      <c r="S5" s="6">
        <f t="shared" si="0"/>
        <v>10080</v>
      </c>
      <c r="T5" s="6">
        <f t="shared" si="0"/>
        <v>10080</v>
      </c>
      <c r="U5" s="6">
        <f t="shared" si="0"/>
        <v>10080</v>
      </c>
      <c r="V5" s="6">
        <f t="shared" si="0"/>
        <v>10080</v>
      </c>
      <c r="W5" s="6">
        <f t="shared" si="0"/>
        <v>10080</v>
      </c>
      <c r="X5" s="6">
        <f t="shared" si="0"/>
        <v>10080</v>
      </c>
      <c r="Y5" s="6">
        <f t="shared" si="0"/>
        <v>10080</v>
      </c>
      <c r="Z5" s="7">
        <f t="shared" si="0"/>
        <v>10080</v>
      </c>
      <c r="AA5" s="17">
        <v>2197</v>
      </c>
      <c r="AB5" s="17" t="str">
        <f t="shared" si="1"/>
        <v/>
      </c>
      <c r="AC5" s="17" t="str">
        <f t="shared" si="2"/>
        <v/>
      </c>
      <c r="AD5" s="17" t="str">
        <f t="shared" si="3"/>
        <v/>
      </c>
      <c r="AE5" s="17" t="str">
        <f t="shared" si="4"/>
        <v/>
      </c>
      <c r="AF5" s="17">
        <v>3625</v>
      </c>
      <c r="AG5" s="17">
        <v>3528</v>
      </c>
      <c r="AH5" s="17" t="str">
        <f t="shared" si="6"/>
        <v/>
      </c>
      <c r="AI5" s="17" t="str">
        <f t="shared" si="7"/>
        <v/>
      </c>
      <c r="AJ5" s="17" t="str">
        <f t="shared" si="8"/>
        <v/>
      </c>
      <c r="AK5" s="17" t="str">
        <f t="shared" si="9"/>
        <v/>
      </c>
      <c r="AL5" s="25">
        <f t="shared" si="10"/>
        <v>5.8630257936507939E-2</v>
      </c>
      <c r="AM5" s="25" t="str">
        <f t="shared" si="11"/>
        <v/>
      </c>
      <c r="AN5" s="25" t="str">
        <f t="shared" si="12"/>
        <v/>
      </c>
      <c r="AO5" s="25" t="str">
        <f t="shared" si="13"/>
        <v/>
      </c>
      <c r="AP5" s="25" t="str">
        <f t="shared" si="14"/>
        <v/>
      </c>
      <c r="AQ5" s="25">
        <f t="shared" si="15"/>
        <v>0.31215277777777778</v>
      </c>
      <c r="AR5" s="25">
        <f t="shared" si="16"/>
        <v>0.35559999999999997</v>
      </c>
      <c r="AS5" s="25" t="str">
        <f t="shared" si="17"/>
        <v/>
      </c>
      <c r="AT5" s="25" t="str">
        <f t="shared" si="18"/>
        <v/>
      </c>
      <c r="AU5" s="25" t="str">
        <f t="shared" si="19"/>
        <v/>
      </c>
      <c r="AV5" s="25" t="str">
        <f t="shared" si="20"/>
        <v/>
      </c>
    </row>
    <row r="6" spans="3:48" x14ac:dyDescent="0.15">
      <c r="C6" s="2" t="s">
        <v>4</v>
      </c>
      <c r="D6" s="11">
        <v>0.27600000000000002</v>
      </c>
      <c r="E6" s="12">
        <v>0.28799999999999998</v>
      </c>
      <c r="F6" s="24"/>
      <c r="G6" s="12">
        <v>0.54600000000000004</v>
      </c>
      <c r="H6" s="24"/>
      <c r="I6" s="12">
        <v>0.89600000000000002</v>
      </c>
      <c r="J6" s="12">
        <v>0.98</v>
      </c>
      <c r="K6" s="24"/>
      <c r="L6" s="12">
        <v>1.012</v>
      </c>
      <c r="M6" s="24"/>
      <c r="N6" s="27"/>
      <c r="O6" s="3">
        <f>17390/2</f>
        <v>8695</v>
      </c>
      <c r="P6" s="5">
        <f t="shared" si="0"/>
        <v>10080</v>
      </c>
      <c r="Q6" s="6">
        <f t="shared" si="0"/>
        <v>10080</v>
      </c>
      <c r="R6" s="6">
        <f t="shared" si="0"/>
        <v>10080</v>
      </c>
      <c r="S6" s="6">
        <f t="shared" si="0"/>
        <v>10080</v>
      </c>
      <c r="T6" s="6">
        <f t="shared" si="0"/>
        <v>10080</v>
      </c>
      <c r="U6" s="6">
        <f t="shared" si="0"/>
        <v>10080</v>
      </c>
      <c r="V6" s="6">
        <f t="shared" si="0"/>
        <v>10080</v>
      </c>
      <c r="W6" s="6">
        <f t="shared" si="0"/>
        <v>10080</v>
      </c>
      <c r="X6" s="6">
        <f t="shared" si="0"/>
        <v>10080</v>
      </c>
      <c r="Y6" s="6">
        <f t="shared" si="0"/>
        <v>10080</v>
      </c>
      <c r="Z6" s="7">
        <f t="shared" si="0"/>
        <v>10080</v>
      </c>
      <c r="AA6" s="17">
        <v>1112</v>
      </c>
      <c r="AB6" s="17">
        <v>1497</v>
      </c>
      <c r="AC6" s="17" t="str">
        <f t="shared" si="2"/>
        <v/>
      </c>
      <c r="AD6" s="17">
        <v>1467</v>
      </c>
      <c r="AE6" s="17" t="str">
        <f t="shared" si="4"/>
        <v/>
      </c>
      <c r="AF6" s="17">
        <v>860</v>
      </c>
      <c r="AG6" s="17">
        <v>1857</v>
      </c>
      <c r="AH6" s="17" t="str">
        <f t="shared" si="6"/>
        <v/>
      </c>
      <c r="AI6" s="17">
        <v>1902</v>
      </c>
      <c r="AJ6" s="17" t="str">
        <f t="shared" si="8"/>
        <v/>
      </c>
      <c r="AK6" s="17" t="str">
        <f t="shared" si="9"/>
        <v/>
      </c>
      <c r="AL6" s="25">
        <f t="shared" si="10"/>
        <v>3.044761904761905E-2</v>
      </c>
      <c r="AM6" s="25">
        <f t="shared" si="11"/>
        <v>4.2771428571428571E-2</v>
      </c>
      <c r="AN6" s="25" t="str">
        <f t="shared" si="12"/>
        <v/>
      </c>
      <c r="AO6" s="25">
        <f t="shared" si="13"/>
        <v>7.9462500000000005E-2</v>
      </c>
      <c r="AP6" s="25" t="str">
        <f t="shared" si="14"/>
        <v/>
      </c>
      <c r="AQ6" s="25">
        <f t="shared" si="15"/>
        <v>7.6444444444444454E-2</v>
      </c>
      <c r="AR6" s="25">
        <f t="shared" si="16"/>
        <v>0.18054166666666666</v>
      </c>
      <c r="AS6" s="25" t="str">
        <f t="shared" si="17"/>
        <v/>
      </c>
      <c r="AT6" s="25">
        <f t="shared" si="18"/>
        <v>0.1909547619047619</v>
      </c>
      <c r="AU6" s="25" t="str">
        <f t="shared" si="19"/>
        <v/>
      </c>
      <c r="AV6" s="25" t="str">
        <f t="shared" si="20"/>
        <v/>
      </c>
    </row>
    <row r="7" spans="3:48" x14ac:dyDescent="0.15">
      <c r="C7" s="2" t="s">
        <v>5</v>
      </c>
      <c r="D7" s="11">
        <v>0.28399999999999997</v>
      </c>
      <c r="E7" s="24"/>
      <c r="F7" s="24"/>
      <c r="G7" s="12">
        <v>0.54600000000000004</v>
      </c>
      <c r="H7" s="24"/>
      <c r="I7" s="12">
        <v>0.89600000000000002</v>
      </c>
      <c r="J7" s="12">
        <v>0.96299999999999997</v>
      </c>
      <c r="K7" s="24"/>
      <c r="L7" s="24"/>
      <c r="M7" s="12">
        <v>1.07</v>
      </c>
      <c r="N7" s="27"/>
      <c r="O7" s="3">
        <f>13080/2</f>
        <v>6540</v>
      </c>
      <c r="P7" s="5">
        <f t="shared" si="0"/>
        <v>10080</v>
      </c>
      <c r="Q7" s="6">
        <f t="shared" si="0"/>
        <v>10080</v>
      </c>
      <c r="R7" s="6">
        <f t="shared" si="0"/>
        <v>10080</v>
      </c>
      <c r="S7" s="6">
        <f t="shared" si="0"/>
        <v>10080</v>
      </c>
      <c r="T7" s="6">
        <f t="shared" si="0"/>
        <v>10080</v>
      </c>
      <c r="U7" s="6">
        <f t="shared" si="0"/>
        <v>10080</v>
      </c>
      <c r="V7" s="6">
        <f t="shared" si="0"/>
        <v>10080</v>
      </c>
      <c r="W7" s="6">
        <f t="shared" si="0"/>
        <v>10080</v>
      </c>
      <c r="X7" s="6">
        <f t="shared" si="0"/>
        <v>10080</v>
      </c>
      <c r="Y7" s="6">
        <f t="shared" si="0"/>
        <v>10080</v>
      </c>
      <c r="Z7" s="7">
        <f t="shared" si="0"/>
        <v>10080</v>
      </c>
      <c r="AA7" s="17">
        <f t="shared" ref="AA7" si="21">IF(D7&gt;0,$O7/(COUNT($D7:$N7)),"")</f>
        <v>1308</v>
      </c>
      <c r="AB7" s="17" t="str">
        <f t="shared" si="1"/>
        <v/>
      </c>
      <c r="AC7" s="17" t="str">
        <f t="shared" si="2"/>
        <v/>
      </c>
      <c r="AD7" s="17">
        <f t="shared" si="3"/>
        <v>1308</v>
      </c>
      <c r="AE7" s="17" t="str">
        <f t="shared" si="4"/>
        <v/>
      </c>
      <c r="AF7" s="17">
        <f t="shared" ref="AF7:AF9" si="22">IF(I7&gt;0,$O7/(COUNT($D7:$N7)),"")</f>
        <v>1308</v>
      </c>
      <c r="AG7" s="17">
        <f t="shared" si="5"/>
        <v>1308</v>
      </c>
      <c r="AH7" s="17" t="str">
        <f t="shared" si="6"/>
        <v/>
      </c>
      <c r="AI7" s="17" t="str">
        <f t="shared" si="7"/>
        <v/>
      </c>
      <c r="AJ7" s="17">
        <f t="shared" si="8"/>
        <v>1308</v>
      </c>
      <c r="AK7" s="17" t="str">
        <f t="shared" si="9"/>
        <v/>
      </c>
      <c r="AL7" s="25">
        <f t="shared" si="10"/>
        <v>3.6852380952380949E-2</v>
      </c>
      <c r="AM7" s="25" t="str">
        <f t="shared" si="11"/>
        <v/>
      </c>
      <c r="AN7" s="25" t="str">
        <f t="shared" si="12"/>
        <v/>
      </c>
      <c r="AO7" s="25">
        <f t="shared" si="13"/>
        <v>7.0849999999999996E-2</v>
      </c>
      <c r="AP7" s="25" t="str">
        <f t="shared" si="14"/>
        <v/>
      </c>
      <c r="AQ7" s="25">
        <f t="shared" si="15"/>
        <v>0.11626666666666667</v>
      </c>
      <c r="AR7" s="25">
        <f t="shared" si="16"/>
        <v>0.12496071428571429</v>
      </c>
      <c r="AS7" s="25" t="str">
        <f t="shared" si="17"/>
        <v/>
      </c>
      <c r="AT7" s="25" t="str">
        <f t="shared" si="18"/>
        <v/>
      </c>
      <c r="AU7" s="25">
        <f t="shared" si="19"/>
        <v>0.1388452380952381</v>
      </c>
      <c r="AV7" s="25" t="str">
        <f t="shared" si="20"/>
        <v/>
      </c>
    </row>
    <row r="8" spans="3:48" x14ac:dyDescent="0.15">
      <c r="C8" s="2" t="s">
        <v>6</v>
      </c>
      <c r="D8" s="11">
        <v>0.28699999999999998</v>
      </c>
      <c r="E8" s="24"/>
      <c r="F8" s="12">
        <v>0.52700000000000002</v>
      </c>
      <c r="G8" s="12">
        <v>0.52900000000000003</v>
      </c>
      <c r="H8" s="12">
        <v>0.93600000000000005</v>
      </c>
      <c r="I8" s="24"/>
      <c r="J8" s="24"/>
      <c r="K8" s="24"/>
      <c r="L8" s="24"/>
      <c r="M8" s="24"/>
      <c r="N8" s="27"/>
      <c r="O8" s="3">
        <f>11290/2</f>
        <v>5645</v>
      </c>
      <c r="P8" s="5">
        <f t="shared" si="0"/>
        <v>10080</v>
      </c>
      <c r="Q8" s="6">
        <f t="shared" si="0"/>
        <v>10080</v>
      </c>
      <c r="R8" s="6">
        <f t="shared" si="0"/>
        <v>10080</v>
      </c>
      <c r="S8" s="6">
        <f t="shared" si="0"/>
        <v>10080</v>
      </c>
      <c r="T8" s="6">
        <f t="shared" si="0"/>
        <v>10080</v>
      </c>
      <c r="U8" s="6">
        <f t="shared" si="0"/>
        <v>10080</v>
      </c>
      <c r="V8" s="6">
        <f t="shared" si="0"/>
        <v>10080</v>
      </c>
      <c r="W8" s="6">
        <f t="shared" si="0"/>
        <v>10080</v>
      </c>
      <c r="X8" s="6">
        <f t="shared" si="0"/>
        <v>10080</v>
      </c>
      <c r="Y8" s="6">
        <f t="shared" si="0"/>
        <v>10080</v>
      </c>
      <c r="Z8" s="7">
        <f t="shared" si="0"/>
        <v>10080</v>
      </c>
      <c r="AA8" s="17">
        <v>1763</v>
      </c>
      <c r="AB8" s="17" t="str">
        <f t="shared" si="1"/>
        <v/>
      </c>
      <c r="AC8" s="17">
        <v>1586</v>
      </c>
      <c r="AD8" s="17">
        <v>1047</v>
      </c>
      <c r="AE8" s="17">
        <v>2144</v>
      </c>
      <c r="AF8" s="17" t="str">
        <f t="shared" si="22"/>
        <v/>
      </c>
      <c r="AG8" s="17" t="str">
        <f t="shared" si="5"/>
        <v/>
      </c>
      <c r="AH8" s="17" t="str">
        <f t="shared" si="6"/>
        <v/>
      </c>
      <c r="AI8" s="17" t="str">
        <f t="shared" si="7"/>
        <v/>
      </c>
      <c r="AJ8" s="17" t="str">
        <f t="shared" si="8"/>
        <v/>
      </c>
      <c r="AK8" s="17" t="str">
        <f t="shared" si="9"/>
        <v/>
      </c>
      <c r="AL8" s="25">
        <f t="shared" si="10"/>
        <v>5.019652777777777E-2</v>
      </c>
      <c r="AM8" s="25" t="str">
        <f t="shared" si="11"/>
        <v/>
      </c>
      <c r="AN8" s="25">
        <f t="shared" si="12"/>
        <v>8.2918849206349204E-2</v>
      </c>
      <c r="AO8" s="25">
        <f t="shared" si="13"/>
        <v>5.4946726190476199E-2</v>
      </c>
      <c r="AP8" s="25">
        <f t="shared" si="14"/>
        <v>0.19908571428571428</v>
      </c>
      <c r="AQ8" s="25" t="str">
        <f t="shared" si="15"/>
        <v/>
      </c>
      <c r="AR8" s="25" t="str">
        <f t="shared" si="16"/>
        <v/>
      </c>
      <c r="AS8" s="25" t="str">
        <f t="shared" si="17"/>
        <v/>
      </c>
      <c r="AT8" s="25" t="str">
        <f t="shared" si="18"/>
        <v/>
      </c>
      <c r="AU8" s="25" t="str">
        <f t="shared" si="19"/>
        <v/>
      </c>
      <c r="AV8" s="25" t="str">
        <f t="shared" si="20"/>
        <v/>
      </c>
    </row>
    <row r="9" spans="3:48" x14ac:dyDescent="0.15">
      <c r="C9" s="2" t="s">
        <v>7</v>
      </c>
      <c r="D9" s="11">
        <v>0.30299999999999999</v>
      </c>
      <c r="E9" s="24"/>
      <c r="F9" s="12">
        <v>0.59299999999999997</v>
      </c>
      <c r="G9" s="12"/>
      <c r="H9" s="12">
        <v>1.079</v>
      </c>
      <c r="I9" s="24"/>
      <c r="J9" s="24"/>
      <c r="K9" s="24"/>
      <c r="L9" s="12">
        <v>1.9870000000000001</v>
      </c>
      <c r="M9" s="24"/>
      <c r="N9" s="27"/>
      <c r="O9" s="3">
        <f>13640/2</f>
        <v>6820</v>
      </c>
      <c r="P9" s="5">
        <f t="shared" si="0"/>
        <v>10080</v>
      </c>
      <c r="Q9" s="6">
        <f t="shared" si="0"/>
        <v>10080</v>
      </c>
      <c r="R9" s="6">
        <f t="shared" si="0"/>
        <v>10080</v>
      </c>
      <c r="S9" s="6">
        <f t="shared" si="0"/>
        <v>10080</v>
      </c>
      <c r="T9" s="6">
        <f t="shared" si="0"/>
        <v>10080</v>
      </c>
      <c r="U9" s="6">
        <f t="shared" si="0"/>
        <v>10080</v>
      </c>
      <c r="V9" s="6">
        <f t="shared" si="0"/>
        <v>10080</v>
      </c>
      <c r="W9" s="6">
        <f t="shared" si="0"/>
        <v>10080</v>
      </c>
      <c r="X9" s="6">
        <f t="shared" si="0"/>
        <v>10080</v>
      </c>
      <c r="Y9" s="6">
        <f t="shared" si="0"/>
        <v>10080</v>
      </c>
      <c r="Z9" s="7">
        <f t="shared" si="0"/>
        <v>10080</v>
      </c>
      <c r="AA9" s="17">
        <v>1276</v>
      </c>
      <c r="AB9" s="17" t="str">
        <f t="shared" si="1"/>
        <v/>
      </c>
      <c r="AC9" s="17">
        <v>1697</v>
      </c>
      <c r="AD9" s="17" t="str">
        <f t="shared" si="3"/>
        <v/>
      </c>
      <c r="AE9" s="17">
        <v>2136</v>
      </c>
      <c r="AF9" s="17" t="str">
        <f t="shared" si="22"/>
        <v/>
      </c>
      <c r="AG9" s="17" t="str">
        <f t="shared" si="5"/>
        <v/>
      </c>
      <c r="AH9" s="17" t="str">
        <f t="shared" si="6"/>
        <v/>
      </c>
      <c r="AI9" s="17">
        <v>1711</v>
      </c>
      <c r="AJ9" s="17" t="str">
        <f t="shared" si="8"/>
        <v/>
      </c>
      <c r="AK9" s="17" t="str">
        <f t="shared" si="9"/>
        <v/>
      </c>
      <c r="AL9" s="25">
        <f t="shared" si="10"/>
        <v>3.8355952380952379E-2</v>
      </c>
      <c r="AM9" s="25" t="str">
        <f t="shared" si="11"/>
        <v/>
      </c>
      <c r="AN9" s="25">
        <f t="shared" si="12"/>
        <v>9.9833432539682535E-2</v>
      </c>
      <c r="AO9" s="25" t="str">
        <f t="shared" si="13"/>
        <v/>
      </c>
      <c r="AP9" s="25">
        <f t="shared" si="14"/>
        <v>0.22864523809523807</v>
      </c>
      <c r="AQ9" s="25" t="str">
        <f t="shared" si="15"/>
        <v/>
      </c>
      <c r="AR9" s="25" t="str">
        <f t="shared" si="16"/>
        <v/>
      </c>
      <c r="AS9" s="25" t="str">
        <f t="shared" si="17"/>
        <v/>
      </c>
      <c r="AT9" s="25">
        <f t="shared" si="18"/>
        <v>0.33727748015873016</v>
      </c>
      <c r="AU9" s="25" t="str">
        <f t="shared" si="19"/>
        <v/>
      </c>
      <c r="AV9" s="25" t="str">
        <f t="shared" si="20"/>
        <v/>
      </c>
    </row>
    <row r="10" spans="3:48" x14ac:dyDescent="0.15">
      <c r="C10" s="2" t="s">
        <v>8</v>
      </c>
      <c r="D10" s="11">
        <v>0.30299999999999999</v>
      </c>
      <c r="E10" s="24"/>
      <c r="F10" s="24"/>
      <c r="G10" s="12">
        <v>0.52900000000000003</v>
      </c>
      <c r="H10" s="24"/>
      <c r="I10" s="12">
        <v>0.879</v>
      </c>
      <c r="J10" s="12">
        <v>0.97199999999999998</v>
      </c>
      <c r="K10" s="12">
        <v>1.252</v>
      </c>
      <c r="L10" s="24"/>
      <c r="M10" s="12">
        <v>1.5509999999999999</v>
      </c>
      <c r="N10" s="27"/>
      <c r="O10" s="3">
        <f>19720/2</f>
        <v>9860</v>
      </c>
      <c r="P10" s="5">
        <f t="shared" si="0"/>
        <v>10080</v>
      </c>
      <c r="Q10" s="6">
        <f t="shared" si="0"/>
        <v>10080</v>
      </c>
      <c r="R10" s="6">
        <f t="shared" si="0"/>
        <v>10080</v>
      </c>
      <c r="S10" s="6">
        <f t="shared" si="0"/>
        <v>10080</v>
      </c>
      <c r="T10" s="6">
        <f t="shared" si="0"/>
        <v>10080</v>
      </c>
      <c r="U10" s="6">
        <f t="shared" si="0"/>
        <v>10080</v>
      </c>
      <c r="V10" s="6">
        <f t="shared" si="0"/>
        <v>10080</v>
      </c>
      <c r="W10" s="6">
        <f t="shared" si="0"/>
        <v>10080</v>
      </c>
      <c r="X10" s="6">
        <f t="shared" si="0"/>
        <v>10080</v>
      </c>
      <c r="Y10" s="6">
        <f t="shared" si="0"/>
        <v>10080</v>
      </c>
      <c r="Z10" s="7">
        <f t="shared" si="0"/>
        <v>10080</v>
      </c>
      <c r="AA10" s="17">
        <v>1766</v>
      </c>
      <c r="AB10" s="17" t="str">
        <f t="shared" si="1"/>
        <v/>
      </c>
      <c r="AC10" s="17" t="str">
        <f t="shared" si="2"/>
        <v/>
      </c>
      <c r="AD10" s="17">
        <v>1748</v>
      </c>
      <c r="AE10" s="17" t="str">
        <f t="shared" si="4"/>
        <v/>
      </c>
      <c r="AF10" s="17">
        <v>1550</v>
      </c>
      <c r="AG10" s="17">
        <v>1669</v>
      </c>
      <c r="AH10" s="17">
        <v>1338</v>
      </c>
      <c r="AI10" s="17" t="str">
        <f t="shared" si="7"/>
        <v/>
      </c>
      <c r="AJ10" s="17">
        <v>1789</v>
      </c>
      <c r="AK10" s="17" t="str">
        <f t="shared" si="9"/>
        <v/>
      </c>
      <c r="AL10" s="25">
        <f t="shared" si="10"/>
        <v>5.3085119047619041E-2</v>
      </c>
      <c r="AM10" s="25" t="str">
        <f t="shared" si="11"/>
        <v/>
      </c>
      <c r="AN10" s="25" t="str">
        <f t="shared" si="12"/>
        <v/>
      </c>
      <c r="AO10" s="25">
        <f t="shared" si="13"/>
        <v>9.1735317460317461E-2</v>
      </c>
      <c r="AP10" s="25" t="str">
        <f t="shared" si="14"/>
        <v/>
      </c>
      <c r="AQ10" s="25">
        <f t="shared" si="15"/>
        <v>0.13516369047619048</v>
      </c>
      <c r="AR10" s="25">
        <f t="shared" si="16"/>
        <v>0.16093928571428573</v>
      </c>
      <c r="AS10" s="25">
        <f t="shared" si="17"/>
        <v>0.16618809523809522</v>
      </c>
      <c r="AT10" s="25" t="str">
        <f t="shared" si="18"/>
        <v/>
      </c>
      <c r="AU10" s="25">
        <f t="shared" si="19"/>
        <v>0.27527172619047618</v>
      </c>
      <c r="AV10" s="25" t="str">
        <f t="shared" si="20"/>
        <v/>
      </c>
    </row>
    <row r="11" spans="3:48" x14ac:dyDescent="0.15">
      <c r="C11" s="2" t="s">
        <v>17</v>
      </c>
      <c r="D11" s="11">
        <v>0.27</v>
      </c>
      <c r="E11" s="12">
        <v>0.28799999999999998</v>
      </c>
      <c r="F11" s="12">
        <v>0.51</v>
      </c>
      <c r="G11" s="12">
        <v>0.54600000000000004</v>
      </c>
      <c r="H11" s="12">
        <v>0.78800000000000003</v>
      </c>
      <c r="I11" s="12">
        <v>0.89100000000000001</v>
      </c>
      <c r="J11" s="12">
        <v>1.022</v>
      </c>
      <c r="K11" s="12">
        <v>1.3360000000000001</v>
      </c>
      <c r="L11" s="24"/>
      <c r="M11" s="24"/>
      <c r="N11" s="27"/>
      <c r="O11" s="3">
        <f>29070/2</f>
        <v>14535</v>
      </c>
      <c r="P11" s="5">
        <f t="shared" si="0"/>
        <v>10080</v>
      </c>
      <c r="Q11" s="6">
        <f t="shared" si="0"/>
        <v>10080</v>
      </c>
      <c r="R11" s="6">
        <f t="shared" si="0"/>
        <v>10080</v>
      </c>
      <c r="S11" s="6">
        <f t="shared" si="0"/>
        <v>10080</v>
      </c>
      <c r="T11" s="6">
        <f t="shared" si="0"/>
        <v>10080</v>
      </c>
      <c r="U11" s="6">
        <f t="shared" si="0"/>
        <v>10080</v>
      </c>
      <c r="V11" s="6">
        <f t="shared" si="0"/>
        <v>10080</v>
      </c>
      <c r="W11" s="6">
        <f t="shared" si="0"/>
        <v>10080</v>
      </c>
      <c r="X11" s="6">
        <f t="shared" si="0"/>
        <v>10080</v>
      </c>
      <c r="Y11" s="6">
        <f t="shared" si="0"/>
        <v>10080</v>
      </c>
      <c r="Z11" s="7">
        <f t="shared" si="0"/>
        <v>10080</v>
      </c>
      <c r="AA11" s="17">
        <v>1994</v>
      </c>
      <c r="AB11" s="17">
        <v>1960</v>
      </c>
      <c r="AC11" s="17">
        <v>1941</v>
      </c>
      <c r="AD11" s="17">
        <v>1710</v>
      </c>
      <c r="AE11" s="17">
        <v>1860</v>
      </c>
      <c r="AF11" s="17">
        <v>1794</v>
      </c>
      <c r="AG11" s="17">
        <v>1678</v>
      </c>
      <c r="AH11" s="17">
        <v>1598</v>
      </c>
      <c r="AI11" s="17" t="str">
        <f t="shared" si="7"/>
        <v/>
      </c>
      <c r="AJ11" s="17" t="str">
        <f t="shared" si="8"/>
        <v/>
      </c>
      <c r="AK11" s="17" t="str">
        <f t="shared" si="9"/>
        <v/>
      </c>
      <c r="AL11" s="25">
        <f t="shared" si="10"/>
        <v>5.3410714285714284E-2</v>
      </c>
      <c r="AM11" s="25">
        <f t="shared" si="11"/>
        <v>5.5999999999999987E-2</v>
      </c>
      <c r="AN11" s="25">
        <f t="shared" si="12"/>
        <v>9.8205357142857136E-2</v>
      </c>
      <c r="AO11" s="25">
        <f t="shared" si="13"/>
        <v>9.2625000000000013E-2</v>
      </c>
      <c r="AP11" s="25">
        <f t="shared" si="14"/>
        <v>0.1454047619047619</v>
      </c>
      <c r="AQ11" s="25">
        <f t="shared" si="15"/>
        <v>0.15857678571428571</v>
      </c>
      <c r="AR11" s="25">
        <f t="shared" si="16"/>
        <v>0.17013055555555556</v>
      </c>
      <c r="AS11" s="25">
        <f t="shared" si="17"/>
        <v>0.21179841269841274</v>
      </c>
      <c r="AT11" s="25" t="str">
        <f t="shared" si="18"/>
        <v/>
      </c>
      <c r="AU11" s="25" t="str">
        <f t="shared" si="19"/>
        <v/>
      </c>
      <c r="AV11" s="25" t="str">
        <f t="shared" si="20"/>
        <v/>
      </c>
    </row>
    <row r="12" spans="3:48" x14ac:dyDescent="0.15">
      <c r="C12" s="2" t="s">
        <v>1</v>
      </c>
      <c r="D12" s="11">
        <v>0.33700000000000002</v>
      </c>
      <c r="E12" s="24"/>
      <c r="F12" s="24"/>
      <c r="G12" s="12">
        <v>0.58899999999999997</v>
      </c>
      <c r="H12" s="24"/>
      <c r="I12" s="12">
        <v>1.1120000000000001</v>
      </c>
      <c r="J12" s="12">
        <v>1.23</v>
      </c>
      <c r="K12" s="24"/>
      <c r="L12" s="24"/>
      <c r="M12" s="24"/>
      <c r="N12" s="13">
        <v>1.5660000000000001</v>
      </c>
      <c r="O12" s="3">
        <f>25080/2</f>
        <v>12540</v>
      </c>
      <c r="P12" s="5">
        <f t="shared" si="0"/>
        <v>10080</v>
      </c>
      <c r="Q12" s="6">
        <f t="shared" si="0"/>
        <v>10080</v>
      </c>
      <c r="R12" s="6">
        <f t="shared" si="0"/>
        <v>10080</v>
      </c>
      <c r="S12" s="6">
        <f t="shared" si="0"/>
        <v>10080</v>
      </c>
      <c r="T12" s="6">
        <f t="shared" si="0"/>
        <v>10080</v>
      </c>
      <c r="U12" s="6">
        <f t="shared" si="0"/>
        <v>10080</v>
      </c>
      <c r="V12" s="6">
        <f t="shared" si="0"/>
        <v>10080</v>
      </c>
      <c r="W12" s="6">
        <f t="shared" si="0"/>
        <v>10080</v>
      </c>
      <c r="X12" s="6">
        <f t="shared" si="0"/>
        <v>10080</v>
      </c>
      <c r="Y12" s="6">
        <f t="shared" si="0"/>
        <v>10080</v>
      </c>
      <c r="Z12" s="7">
        <f t="shared" si="0"/>
        <v>10080</v>
      </c>
      <c r="AA12" s="17">
        <v>2589</v>
      </c>
      <c r="AB12" s="17" t="str">
        <f t="shared" si="1"/>
        <v/>
      </c>
      <c r="AC12" s="17" t="str">
        <f t="shared" si="2"/>
        <v/>
      </c>
      <c r="AD12" s="17">
        <v>2427</v>
      </c>
      <c r="AE12" s="17" t="str">
        <f t="shared" si="4"/>
        <v/>
      </c>
      <c r="AF12" s="17">
        <v>2417</v>
      </c>
      <c r="AG12" s="17">
        <v>2579</v>
      </c>
      <c r="AH12" s="17" t="str">
        <f t="shared" si="6"/>
        <v/>
      </c>
      <c r="AI12" s="17" t="str">
        <f t="shared" si="7"/>
        <v/>
      </c>
      <c r="AJ12" s="17" t="str">
        <f t="shared" si="8"/>
        <v/>
      </c>
      <c r="AK12" s="17">
        <v>2528</v>
      </c>
      <c r="AL12" s="25">
        <f t="shared" si="10"/>
        <v>8.6556845238095245E-2</v>
      </c>
      <c r="AM12" s="25" t="str">
        <f t="shared" si="11"/>
        <v/>
      </c>
      <c r="AN12" s="25" t="str">
        <f t="shared" si="12"/>
        <v/>
      </c>
      <c r="AO12" s="25">
        <f t="shared" si="13"/>
        <v>0.14181577380952382</v>
      </c>
      <c r="AP12" s="25" t="str">
        <f t="shared" si="14"/>
        <v/>
      </c>
      <c r="AQ12" s="25">
        <f t="shared" si="15"/>
        <v>0.26663730158730159</v>
      </c>
      <c r="AR12" s="25">
        <f t="shared" si="16"/>
        <v>0.31469940476190478</v>
      </c>
      <c r="AS12" s="25" t="str">
        <f t="shared" si="17"/>
        <v/>
      </c>
      <c r="AT12" s="25" t="str">
        <f t="shared" si="18"/>
        <v/>
      </c>
      <c r="AU12" s="25" t="str">
        <f t="shared" si="19"/>
        <v/>
      </c>
      <c r="AV12" s="25">
        <f t="shared" si="20"/>
        <v>0.39274285714285712</v>
      </c>
    </row>
    <row r="13" spans="3:48" x14ac:dyDescent="0.15">
      <c r="C13" s="2" t="s">
        <v>18</v>
      </c>
      <c r="D13" s="11">
        <v>0.29799999999999999</v>
      </c>
      <c r="E13" s="24"/>
      <c r="F13" s="24"/>
      <c r="G13" s="12">
        <v>0.54600000000000004</v>
      </c>
      <c r="H13" s="12">
        <v>1.016</v>
      </c>
      <c r="I13" s="12">
        <v>0.94599999999999995</v>
      </c>
      <c r="J13" s="12">
        <v>1.1299999999999999</v>
      </c>
      <c r="K13" s="24"/>
      <c r="L13" s="24"/>
      <c r="M13" s="12">
        <v>1.8560000000000001</v>
      </c>
      <c r="N13" s="27"/>
      <c r="O13" s="3">
        <f>21380/2</f>
        <v>10690</v>
      </c>
      <c r="P13" s="5">
        <f t="shared" si="0"/>
        <v>10080</v>
      </c>
      <c r="Q13" s="6">
        <f t="shared" si="0"/>
        <v>10080</v>
      </c>
      <c r="R13" s="6">
        <f t="shared" si="0"/>
        <v>10080</v>
      </c>
      <c r="S13" s="6">
        <f t="shared" si="0"/>
        <v>10080</v>
      </c>
      <c r="T13" s="6">
        <f t="shared" si="0"/>
        <v>10080</v>
      </c>
      <c r="U13" s="6">
        <f t="shared" si="0"/>
        <v>10080</v>
      </c>
      <c r="V13" s="6">
        <f t="shared" si="0"/>
        <v>10080</v>
      </c>
      <c r="W13" s="6">
        <f t="shared" si="0"/>
        <v>10080</v>
      </c>
      <c r="X13" s="6">
        <f t="shared" si="0"/>
        <v>10080</v>
      </c>
      <c r="Y13" s="6">
        <f t="shared" si="0"/>
        <v>10080</v>
      </c>
      <c r="Z13" s="7">
        <f t="shared" si="0"/>
        <v>10080</v>
      </c>
      <c r="AA13" s="17">
        <v>1821</v>
      </c>
      <c r="AB13" s="17" t="str">
        <f t="shared" si="1"/>
        <v/>
      </c>
      <c r="AC13" s="17" t="str">
        <f t="shared" si="2"/>
        <v/>
      </c>
      <c r="AD13" s="17">
        <v>1640</v>
      </c>
      <c r="AE13" s="17">
        <v>1756</v>
      </c>
      <c r="AF13" s="17">
        <v>1869</v>
      </c>
      <c r="AG13" s="17">
        <v>1928</v>
      </c>
      <c r="AH13" s="17" t="str">
        <f t="shared" si="6"/>
        <v/>
      </c>
      <c r="AI13" s="17" t="str">
        <f t="shared" si="7"/>
        <v/>
      </c>
      <c r="AJ13" s="17">
        <v>1676</v>
      </c>
      <c r="AK13" s="17" t="str">
        <f t="shared" si="9"/>
        <v/>
      </c>
      <c r="AL13" s="25">
        <f t="shared" si="10"/>
        <v>5.3835119047619048E-2</v>
      </c>
      <c r="AM13" s="25" t="str">
        <f t="shared" si="11"/>
        <v/>
      </c>
      <c r="AN13" s="25" t="str">
        <f t="shared" si="12"/>
        <v/>
      </c>
      <c r="AO13" s="25">
        <f t="shared" si="13"/>
        <v>8.8833333333333334E-2</v>
      </c>
      <c r="AP13" s="25">
        <f t="shared" si="14"/>
        <v>0.17699365079365079</v>
      </c>
      <c r="AQ13" s="25">
        <f t="shared" si="15"/>
        <v>0.17540416666666664</v>
      </c>
      <c r="AR13" s="25">
        <f t="shared" si="16"/>
        <v>0.21613492063492062</v>
      </c>
      <c r="AS13" s="25" t="str">
        <f t="shared" si="17"/>
        <v/>
      </c>
      <c r="AT13" s="25" t="str">
        <f t="shared" si="18"/>
        <v/>
      </c>
      <c r="AU13" s="25">
        <f t="shared" si="19"/>
        <v>0.30859682539682537</v>
      </c>
      <c r="AV13" s="25" t="str">
        <f t="shared" si="20"/>
        <v/>
      </c>
    </row>
    <row r="14" spans="3:48" x14ac:dyDescent="0.15">
      <c r="C14" s="2" t="s">
        <v>19</v>
      </c>
      <c r="D14" s="11">
        <v>0.253</v>
      </c>
      <c r="E14" s="12">
        <v>0.27100000000000002</v>
      </c>
      <c r="F14" s="24"/>
      <c r="G14" s="12">
        <v>0.51900000000000002</v>
      </c>
      <c r="H14" s="12">
        <v>0.83899999999999997</v>
      </c>
      <c r="I14" s="12">
        <v>0.93500000000000005</v>
      </c>
      <c r="J14" s="12">
        <v>0.98799999999999999</v>
      </c>
      <c r="K14" s="12">
        <v>1.2689999999999999</v>
      </c>
      <c r="L14" s="12">
        <v>1.4790000000000001</v>
      </c>
      <c r="M14" s="12">
        <v>1.573</v>
      </c>
      <c r="N14" s="27"/>
      <c r="O14" s="3">
        <f>17380/2</f>
        <v>8690</v>
      </c>
      <c r="P14" s="5">
        <f t="shared" si="0"/>
        <v>10080</v>
      </c>
      <c r="Q14" s="6">
        <f t="shared" si="0"/>
        <v>10080</v>
      </c>
      <c r="R14" s="6">
        <f t="shared" si="0"/>
        <v>10080</v>
      </c>
      <c r="S14" s="6">
        <f t="shared" si="0"/>
        <v>10080</v>
      </c>
      <c r="T14" s="6">
        <f t="shared" si="0"/>
        <v>10080</v>
      </c>
      <c r="U14" s="6">
        <f t="shared" si="0"/>
        <v>10080</v>
      </c>
      <c r="V14" s="6">
        <f t="shared" si="0"/>
        <v>10080</v>
      </c>
      <c r="W14" s="6">
        <f t="shared" si="0"/>
        <v>10080</v>
      </c>
      <c r="X14" s="6">
        <f t="shared" si="0"/>
        <v>10080</v>
      </c>
      <c r="Y14" s="6">
        <f t="shared" si="0"/>
        <v>10080</v>
      </c>
      <c r="Z14" s="7">
        <f t="shared" si="0"/>
        <v>10080</v>
      </c>
      <c r="AA14" s="17">
        <v>1076</v>
      </c>
      <c r="AB14" s="17">
        <v>975</v>
      </c>
      <c r="AC14" s="17" t="str">
        <f t="shared" si="2"/>
        <v/>
      </c>
      <c r="AD14" s="17">
        <v>1026</v>
      </c>
      <c r="AE14" s="17">
        <v>891</v>
      </c>
      <c r="AF14" s="17">
        <v>873</v>
      </c>
      <c r="AG14" s="17">
        <v>941</v>
      </c>
      <c r="AH14" s="17">
        <v>919</v>
      </c>
      <c r="AI14" s="17">
        <v>1043</v>
      </c>
      <c r="AJ14" s="17">
        <v>946</v>
      </c>
      <c r="AK14" s="17" t="str">
        <f t="shared" si="9"/>
        <v/>
      </c>
      <c r="AL14" s="25">
        <f t="shared" si="10"/>
        <v>2.7006746031746031E-2</v>
      </c>
      <c r="AM14" s="25">
        <f t="shared" si="11"/>
        <v>2.6212797619047622E-2</v>
      </c>
      <c r="AN14" s="25" t="str">
        <f t="shared" si="12"/>
        <v/>
      </c>
      <c r="AO14" s="25">
        <f t="shared" si="13"/>
        <v>5.2826785714285715E-2</v>
      </c>
      <c r="AP14" s="25">
        <f t="shared" si="14"/>
        <v>7.4161607142857147E-2</v>
      </c>
      <c r="AQ14" s="25">
        <f t="shared" si="15"/>
        <v>8.0977678571428569E-2</v>
      </c>
      <c r="AR14" s="25">
        <f t="shared" si="16"/>
        <v>9.22329365079365E-2</v>
      </c>
      <c r="AS14" s="25">
        <f t="shared" si="17"/>
        <v>0.11569553571428572</v>
      </c>
      <c r="AT14" s="25">
        <f t="shared" si="18"/>
        <v>0.15303541666666667</v>
      </c>
      <c r="AU14" s="25">
        <f t="shared" si="19"/>
        <v>0.1476248015873016</v>
      </c>
      <c r="AV14" s="25" t="str">
        <f t="shared" si="20"/>
        <v/>
      </c>
    </row>
    <row r="15" spans="3:48" x14ac:dyDescent="0.15">
      <c r="C15" s="2" t="s">
        <v>20</v>
      </c>
      <c r="D15" s="14">
        <v>0.27</v>
      </c>
      <c r="E15" s="15">
        <v>0.32100000000000001</v>
      </c>
      <c r="F15" s="26"/>
      <c r="G15" s="15">
        <v>0.58899999999999997</v>
      </c>
      <c r="H15" s="15">
        <v>1.0229999999999999</v>
      </c>
      <c r="I15" s="15">
        <v>0.91200000000000003</v>
      </c>
      <c r="J15" s="15"/>
      <c r="K15" s="15">
        <v>1.1859999999999999</v>
      </c>
      <c r="L15" s="15">
        <v>1.996</v>
      </c>
      <c r="M15" s="15">
        <v>1.66</v>
      </c>
      <c r="N15" s="28"/>
      <c r="O15" s="4">
        <f>28000/2</f>
        <v>14000</v>
      </c>
      <c r="P15" s="8">
        <f t="shared" si="0"/>
        <v>10080</v>
      </c>
      <c r="Q15" s="9">
        <f t="shared" si="0"/>
        <v>10080</v>
      </c>
      <c r="R15" s="9">
        <f t="shared" si="0"/>
        <v>10080</v>
      </c>
      <c r="S15" s="9">
        <f t="shared" si="0"/>
        <v>10080</v>
      </c>
      <c r="T15" s="9">
        <f t="shared" si="0"/>
        <v>10080</v>
      </c>
      <c r="U15" s="9">
        <f t="shared" si="0"/>
        <v>10080</v>
      </c>
      <c r="V15" s="9">
        <f t="shared" si="0"/>
        <v>10080</v>
      </c>
      <c r="W15" s="9">
        <f t="shared" si="0"/>
        <v>10080</v>
      </c>
      <c r="X15" s="9">
        <f t="shared" si="0"/>
        <v>10080</v>
      </c>
      <c r="Y15" s="9">
        <f t="shared" si="0"/>
        <v>10080</v>
      </c>
      <c r="Z15" s="10">
        <f t="shared" si="0"/>
        <v>10080</v>
      </c>
      <c r="AA15" s="17">
        <v>1726</v>
      </c>
      <c r="AB15" s="17">
        <v>1751</v>
      </c>
      <c r="AC15" s="17" t="str">
        <f t="shared" si="2"/>
        <v/>
      </c>
      <c r="AD15" s="17">
        <v>1747</v>
      </c>
      <c r="AE15" s="17">
        <v>1799</v>
      </c>
      <c r="AF15" s="17">
        <v>1786</v>
      </c>
      <c r="AG15" s="17" t="str">
        <f t="shared" si="5"/>
        <v/>
      </c>
      <c r="AH15" s="17">
        <v>1705</v>
      </c>
      <c r="AI15" s="17">
        <v>1725</v>
      </c>
      <c r="AJ15" s="17">
        <v>1761</v>
      </c>
      <c r="AK15" s="17" t="str">
        <f t="shared" si="9"/>
        <v/>
      </c>
      <c r="AL15" s="25">
        <f t="shared" si="10"/>
        <v>4.6232142857142861E-2</v>
      </c>
      <c r="AM15" s="25">
        <f t="shared" si="11"/>
        <v>5.576101190476191E-2</v>
      </c>
      <c r="AN15" s="25" t="str">
        <f t="shared" si="12"/>
        <v/>
      </c>
      <c r="AO15" s="25">
        <f t="shared" si="13"/>
        <v>0.10208164682539682</v>
      </c>
      <c r="AP15" s="25">
        <f t="shared" si="14"/>
        <v>0.18257708333333331</v>
      </c>
      <c r="AQ15" s="25">
        <f t="shared" si="15"/>
        <v>0.1615904761904762</v>
      </c>
      <c r="AR15" s="25" t="str">
        <f t="shared" si="16"/>
        <v/>
      </c>
      <c r="AS15" s="25">
        <f t="shared" si="17"/>
        <v>0.2006081349206349</v>
      </c>
      <c r="AT15" s="25">
        <f t="shared" si="18"/>
        <v>0.34157738095238094</v>
      </c>
      <c r="AU15" s="25">
        <f t="shared" si="19"/>
        <v>0.29000595238095234</v>
      </c>
      <c r="AV15" s="25" t="str">
        <f t="shared" si="20"/>
        <v/>
      </c>
    </row>
    <row r="16" spans="3:48" x14ac:dyDescent="0.15">
      <c r="O16" s="2" t="s">
        <v>16</v>
      </c>
      <c r="AL16" s="25">
        <f t="shared" ref="AL16:AV16" si="23">SUM(AL4:AL15)</f>
        <v>0.63068918650793648</v>
      </c>
      <c r="AM16" s="25">
        <f t="shared" si="23"/>
        <v>0.1807452380952381</v>
      </c>
      <c r="AN16" s="25">
        <f t="shared" si="23"/>
        <v>0.28095763888888892</v>
      </c>
      <c r="AO16" s="25">
        <f t="shared" si="23"/>
        <v>0.77517708333333324</v>
      </c>
      <c r="AP16" s="25">
        <f t="shared" si="23"/>
        <v>1.0068680555555556</v>
      </c>
      <c r="AQ16" s="25">
        <f t="shared" si="23"/>
        <v>2.0155266865079366</v>
      </c>
      <c r="AR16" s="25">
        <f t="shared" si="23"/>
        <v>1.6152394841269839</v>
      </c>
      <c r="AS16" s="25">
        <f t="shared" si="23"/>
        <v>0.69429017857142861</v>
      </c>
      <c r="AT16" s="25">
        <f t="shared" si="23"/>
        <v>1.0228450396825397</v>
      </c>
      <c r="AU16" s="25">
        <f t="shared" si="23"/>
        <v>1.1603445436507938</v>
      </c>
      <c r="AV16" s="25">
        <f t="shared" si="23"/>
        <v>0.39274285714285712</v>
      </c>
    </row>
    <row r="17" spans="4:48" x14ac:dyDescent="0.15">
      <c r="AL17" s="30">
        <v>1</v>
      </c>
      <c r="AM17" s="30">
        <v>1</v>
      </c>
      <c r="AN17" s="30">
        <v>1</v>
      </c>
      <c r="AO17" s="30">
        <v>1</v>
      </c>
      <c r="AP17" s="30">
        <v>1</v>
      </c>
      <c r="AQ17" s="30">
        <v>1</v>
      </c>
      <c r="AR17" s="30">
        <v>1</v>
      </c>
      <c r="AS17" s="30">
        <v>1</v>
      </c>
      <c r="AT17" s="30">
        <v>1</v>
      </c>
      <c r="AU17" s="30">
        <v>1</v>
      </c>
      <c r="AV17" s="30">
        <v>1</v>
      </c>
    </row>
    <row r="18" spans="4:48" x14ac:dyDescent="0.15">
      <c r="D18" s="34" t="s">
        <v>21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AL18" s="31">
        <f>SUM(AL16:AV16)</f>
        <v>9.7754259920634912</v>
      </c>
    </row>
    <row r="19" spans="4:48" x14ac:dyDescent="0.15"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AL19" s="31">
        <f>AVERAGE(AL16:AV16)</f>
        <v>0.88867509018759006</v>
      </c>
    </row>
    <row r="20" spans="4:48" x14ac:dyDescent="0.15"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</row>
    <row r="21" spans="4:48" x14ac:dyDescent="0.15"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</row>
    <row r="22" spans="4:48" x14ac:dyDescent="0.15"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</row>
    <row r="23" spans="4:48" x14ac:dyDescent="0.15"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</row>
    <row r="24" spans="4:48" x14ac:dyDescent="0.15"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</row>
    <row r="25" spans="4:48" x14ac:dyDescent="0.15"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</row>
    <row r="26" spans="4:48" x14ac:dyDescent="0.15"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</row>
    <row r="27" spans="4:48" x14ac:dyDescent="0.15"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</row>
    <row r="28" spans="4:48" x14ac:dyDescent="0.15"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</row>
    <row r="29" spans="4:48" x14ac:dyDescent="0.15"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</row>
    <row r="35" spans="16:16" x14ac:dyDescent="0.15">
      <c r="P35" s="1">
        <f>100000/12</f>
        <v>8333.3333333333339</v>
      </c>
    </row>
  </sheetData>
  <mergeCells count="6">
    <mergeCell ref="P2:Z2"/>
    <mergeCell ref="AA2:AK2"/>
    <mergeCell ref="AL2:AV2"/>
    <mergeCell ref="D24:V29"/>
    <mergeCell ref="D2:N2"/>
    <mergeCell ref="D18:R2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C2E0B-D74D-A84B-AE26-3E2D294429A2}">
  <dimension ref="C1:AV35"/>
  <sheetViews>
    <sheetView tabSelected="1" topLeftCell="Z1" zoomScale="156" zoomScaleNormal="85" workbookViewId="0">
      <selection activeCell="AL16" sqref="AL16"/>
    </sheetView>
  </sheetViews>
  <sheetFormatPr baseColWidth="10" defaultColWidth="9.1640625" defaultRowHeight="14" x14ac:dyDescent="0.15"/>
  <cols>
    <col min="1" max="1" width="15.5" style="1" bestFit="1" customWidth="1"/>
    <col min="2" max="2" width="13.5" style="1" bestFit="1" customWidth="1"/>
    <col min="3" max="3" width="16.5" style="1" bestFit="1" customWidth="1"/>
    <col min="4" max="14" width="6.6640625" style="1" bestFit="1" customWidth="1"/>
    <col min="15" max="15" width="11" style="1" bestFit="1" customWidth="1"/>
    <col min="16" max="16384" width="9.1640625" style="1"/>
  </cols>
  <sheetData>
    <row r="1" spans="3:48" x14ac:dyDescent="0.15">
      <c r="D1" s="1" t="s">
        <v>15</v>
      </c>
    </row>
    <row r="2" spans="3:48" x14ac:dyDescent="0.15">
      <c r="D2" s="33" t="s">
        <v>13</v>
      </c>
      <c r="E2" s="33"/>
      <c r="F2" s="33"/>
      <c r="G2" s="33"/>
      <c r="H2" s="33"/>
      <c r="I2" s="33"/>
      <c r="J2" s="33"/>
      <c r="K2" s="33"/>
      <c r="L2" s="33"/>
      <c r="M2" s="33"/>
      <c r="N2" s="33"/>
      <c r="O2" s="2" t="s">
        <v>14</v>
      </c>
      <c r="P2" s="32" t="s">
        <v>12</v>
      </c>
      <c r="Q2" s="32"/>
      <c r="R2" s="32"/>
      <c r="S2" s="32"/>
      <c r="T2" s="32"/>
      <c r="U2" s="32"/>
      <c r="V2" s="32"/>
      <c r="W2" s="32"/>
      <c r="X2" s="32"/>
      <c r="Y2" s="32"/>
      <c r="Z2" s="32"/>
      <c r="AA2" s="32" t="s">
        <v>11</v>
      </c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 t="s">
        <v>10</v>
      </c>
      <c r="AM2" s="32"/>
      <c r="AN2" s="32"/>
      <c r="AO2" s="32"/>
      <c r="AP2" s="32"/>
      <c r="AQ2" s="32"/>
      <c r="AR2" s="32"/>
      <c r="AS2" s="32"/>
      <c r="AT2" s="32"/>
      <c r="AU2" s="32"/>
      <c r="AV2" s="32"/>
    </row>
    <row r="3" spans="3:48" ht="15" thickBot="1" x14ac:dyDescent="0.2">
      <c r="C3" s="29" t="s">
        <v>9</v>
      </c>
      <c r="D3" s="18">
        <v>1</v>
      </c>
      <c r="E3" s="19">
        <v>2</v>
      </c>
      <c r="F3" s="19">
        <v>3</v>
      </c>
      <c r="G3" s="19">
        <v>4</v>
      </c>
      <c r="H3" s="19">
        <v>5</v>
      </c>
      <c r="I3" s="19">
        <v>6</v>
      </c>
      <c r="J3" s="19">
        <v>7</v>
      </c>
      <c r="K3" s="19">
        <v>8</v>
      </c>
      <c r="L3" s="19">
        <v>9</v>
      </c>
      <c r="M3" s="19">
        <v>10</v>
      </c>
      <c r="N3" s="20">
        <v>11</v>
      </c>
      <c r="O3" s="21" t="s">
        <v>0</v>
      </c>
      <c r="P3" s="18">
        <v>1</v>
      </c>
      <c r="Q3" s="19">
        <v>2</v>
      </c>
      <c r="R3" s="19">
        <v>3</v>
      </c>
      <c r="S3" s="19">
        <v>4</v>
      </c>
      <c r="T3" s="19">
        <v>5</v>
      </c>
      <c r="U3" s="19">
        <v>6</v>
      </c>
      <c r="V3" s="19">
        <v>7</v>
      </c>
      <c r="W3" s="19">
        <v>8</v>
      </c>
      <c r="X3" s="19">
        <v>9</v>
      </c>
      <c r="Y3" s="19">
        <v>10</v>
      </c>
      <c r="Z3" s="20">
        <v>11</v>
      </c>
      <c r="AA3" s="22">
        <v>1</v>
      </c>
      <c r="AB3" s="22">
        <v>2</v>
      </c>
      <c r="AC3" s="22">
        <v>3</v>
      </c>
      <c r="AD3" s="22">
        <v>4</v>
      </c>
      <c r="AE3" s="22">
        <v>5</v>
      </c>
      <c r="AF3" s="22">
        <v>6</v>
      </c>
      <c r="AG3" s="22">
        <v>7</v>
      </c>
      <c r="AH3" s="22">
        <v>8</v>
      </c>
      <c r="AI3" s="22">
        <v>9</v>
      </c>
      <c r="AJ3" s="22">
        <v>10</v>
      </c>
      <c r="AK3" s="22">
        <v>11</v>
      </c>
      <c r="AL3" s="23">
        <v>1</v>
      </c>
      <c r="AM3" s="23">
        <v>2</v>
      </c>
      <c r="AN3" s="23">
        <v>3</v>
      </c>
      <c r="AO3" s="23">
        <v>4</v>
      </c>
      <c r="AP3" s="23">
        <v>5</v>
      </c>
      <c r="AQ3" s="23">
        <v>6</v>
      </c>
      <c r="AR3" s="23">
        <v>7</v>
      </c>
      <c r="AS3" s="23">
        <v>8</v>
      </c>
      <c r="AT3" s="23">
        <v>9</v>
      </c>
      <c r="AU3" s="23">
        <v>10</v>
      </c>
      <c r="AV3" s="23">
        <v>11</v>
      </c>
    </row>
    <row r="4" spans="3:48" ht="15" thickBot="1" x14ac:dyDescent="0.2">
      <c r="C4" s="2" t="s">
        <v>2</v>
      </c>
      <c r="D4" s="11">
        <v>0.253</v>
      </c>
      <c r="E4" s="24"/>
      <c r="F4" s="24"/>
      <c r="G4" s="24"/>
      <c r="H4" s="24"/>
      <c r="I4" s="12">
        <v>0.94599999999999995</v>
      </c>
      <c r="J4" s="24"/>
      <c r="K4" s="24"/>
      <c r="L4" s="24"/>
      <c r="M4" s="24"/>
      <c r="N4" s="27"/>
      <c r="O4" s="3">
        <f>19000/2</f>
        <v>9500</v>
      </c>
      <c r="P4" s="5">
        <f t="shared" ref="P4:Z15" si="0">24*60*7</f>
        <v>10080</v>
      </c>
      <c r="Q4" s="6">
        <f t="shared" si="0"/>
        <v>10080</v>
      </c>
      <c r="R4" s="6">
        <f t="shared" si="0"/>
        <v>10080</v>
      </c>
      <c r="S4" s="6">
        <f t="shared" si="0"/>
        <v>10080</v>
      </c>
      <c r="T4" s="6">
        <f t="shared" si="0"/>
        <v>10080</v>
      </c>
      <c r="U4" s="6">
        <f t="shared" si="0"/>
        <v>10080</v>
      </c>
      <c r="V4" s="6">
        <f t="shared" si="0"/>
        <v>10080</v>
      </c>
      <c r="W4" s="6">
        <f t="shared" si="0"/>
        <v>10080</v>
      </c>
      <c r="X4" s="6">
        <f t="shared" si="0"/>
        <v>10080</v>
      </c>
      <c r="Y4" s="6">
        <f t="shared" si="0"/>
        <v>10080</v>
      </c>
      <c r="Z4" s="7">
        <f t="shared" si="0"/>
        <v>10080</v>
      </c>
      <c r="AA4" s="35">
        <v>9500</v>
      </c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25">
        <f t="shared" ref="AL4:AV15" si="1">IFERROR(D4*AA4/P4,"")</f>
        <v>0.23844246031746033</v>
      </c>
      <c r="AM4" s="25">
        <f t="shared" si="1"/>
        <v>0</v>
      </c>
      <c r="AN4" s="25">
        <f t="shared" si="1"/>
        <v>0</v>
      </c>
      <c r="AO4" s="25">
        <f t="shared" si="1"/>
        <v>0</v>
      </c>
      <c r="AP4" s="25">
        <f t="shared" si="1"/>
        <v>0</v>
      </c>
      <c r="AQ4" s="25">
        <f t="shared" si="1"/>
        <v>0</v>
      </c>
      <c r="AR4" s="25">
        <f t="shared" si="1"/>
        <v>0</v>
      </c>
      <c r="AS4" s="25">
        <f t="shared" si="1"/>
        <v>0</v>
      </c>
      <c r="AT4" s="25">
        <f t="shared" si="1"/>
        <v>0</v>
      </c>
      <c r="AU4" s="25">
        <f t="shared" si="1"/>
        <v>0</v>
      </c>
      <c r="AV4" s="25">
        <f t="shared" si="1"/>
        <v>0</v>
      </c>
    </row>
    <row r="5" spans="3:48" ht="15" thickBot="1" x14ac:dyDescent="0.2">
      <c r="C5" s="2" t="s">
        <v>3</v>
      </c>
      <c r="D5" s="11">
        <v>0.26900000000000002</v>
      </c>
      <c r="E5" s="24"/>
      <c r="F5" s="24"/>
      <c r="G5" s="24"/>
      <c r="H5" s="24"/>
      <c r="I5" s="12">
        <v>0.86799999999999999</v>
      </c>
      <c r="J5" s="12">
        <v>1.016</v>
      </c>
      <c r="K5" s="24"/>
      <c r="L5" s="24"/>
      <c r="M5" s="24"/>
      <c r="N5" s="27"/>
      <c r="O5" s="3">
        <f>18700/2</f>
        <v>9350</v>
      </c>
      <c r="P5" s="5">
        <f t="shared" si="0"/>
        <v>10080</v>
      </c>
      <c r="Q5" s="6">
        <f t="shared" si="0"/>
        <v>10080</v>
      </c>
      <c r="R5" s="6">
        <f t="shared" si="0"/>
        <v>10080</v>
      </c>
      <c r="S5" s="6">
        <f t="shared" si="0"/>
        <v>10080</v>
      </c>
      <c r="T5" s="6">
        <f t="shared" si="0"/>
        <v>10080</v>
      </c>
      <c r="U5" s="6">
        <f t="shared" si="0"/>
        <v>10080</v>
      </c>
      <c r="V5" s="6">
        <f t="shared" si="0"/>
        <v>10080</v>
      </c>
      <c r="W5" s="6">
        <f t="shared" si="0"/>
        <v>10080</v>
      </c>
      <c r="X5" s="6">
        <f t="shared" si="0"/>
        <v>10080</v>
      </c>
      <c r="Y5" s="6">
        <f t="shared" si="0"/>
        <v>10080</v>
      </c>
      <c r="Z5" s="7">
        <f t="shared" si="0"/>
        <v>10080</v>
      </c>
      <c r="AA5" s="37">
        <v>1286</v>
      </c>
      <c r="AB5" s="38"/>
      <c r="AC5" s="38"/>
      <c r="AD5" s="38"/>
      <c r="AE5" s="38">
        <v>8064</v>
      </c>
      <c r="AF5" s="38"/>
      <c r="AG5" s="38"/>
      <c r="AH5" s="38"/>
      <c r="AI5" s="38"/>
      <c r="AJ5" s="38"/>
      <c r="AK5" s="38"/>
      <c r="AL5" s="25">
        <f t="shared" si="1"/>
        <v>3.4318849206349207E-2</v>
      </c>
      <c r="AM5" s="25">
        <f t="shared" si="1"/>
        <v>0</v>
      </c>
      <c r="AN5" s="25">
        <f t="shared" si="1"/>
        <v>0</v>
      </c>
      <c r="AO5" s="25">
        <f t="shared" si="1"/>
        <v>0</v>
      </c>
      <c r="AP5" s="25">
        <v>0.69440000000000002</v>
      </c>
      <c r="AQ5" s="25">
        <f t="shared" si="1"/>
        <v>0</v>
      </c>
      <c r="AR5" s="25">
        <f t="shared" si="1"/>
        <v>0</v>
      </c>
      <c r="AS5" s="25">
        <f t="shared" si="1"/>
        <v>0</v>
      </c>
      <c r="AT5" s="25">
        <f t="shared" si="1"/>
        <v>0</v>
      </c>
      <c r="AU5" s="25">
        <f t="shared" si="1"/>
        <v>0</v>
      </c>
      <c r="AV5" s="25">
        <f t="shared" si="1"/>
        <v>0</v>
      </c>
    </row>
    <row r="6" spans="3:48" ht="15" thickBot="1" x14ac:dyDescent="0.2">
      <c r="C6" s="2" t="s">
        <v>4</v>
      </c>
      <c r="D6" s="11">
        <v>0.27600000000000002</v>
      </c>
      <c r="E6" s="12">
        <v>0.28799999999999998</v>
      </c>
      <c r="F6" s="24"/>
      <c r="G6" s="12">
        <v>0.54600000000000004</v>
      </c>
      <c r="H6" s="24"/>
      <c r="I6" s="12">
        <v>0.89600000000000002</v>
      </c>
      <c r="J6" s="12">
        <v>0.98</v>
      </c>
      <c r="K6" s="24"/>
      <c r="L6" s="12">
        <v>1.012</v>
      </c>
      <c r="M6" s="24"/>
      <c r="N6" s="27"/>
      <c r="O6" s="3">
        <f>17390/2</f>
        <v>8695</v>
      </c>
      <c r="P6" s="5">
        <f t="shared" si="0"/>
        <v>10080</v>
      </c>
      <c r="Q6" s="6">
        <f t="shared" si="0"/>
        <v>10080</v>
      </c>
      <c r="R6" s="6">
        <f t="shared" si="0"/>
        <v>10080</v>
      </c>
      <c r="S6" s="6">
        <f t="shared" si="0"/>
        <v>10080</v>
      </c>
      <c r="T6" s="6">
        <f t="shared" si="0"/>
        <v>10080</v>
      </c>
      <c r="U6" s="6">
        <f t="shared" si="0"/>
        <v>10080</v>
      </c>
      <c r="V6" s="6">
        <f t="shared" si="0"/>
        <v>10080</v>
      </c>
      <c r="W6" s="6">
        <f t="shared" si="0"/>
        <v>10080</v>
      </c>
      <c r="X6" s="6">
        <f t="shared" si="0"/>
        <v>10080</v>
      </c>
      <c r="Y6" s="6">
        <f t="shared" si="0"/>
        <v>10080</v>
      </c>
      <c r="Z6" s="7">
        <f t="shared" si="0"/>
        <v>10080</v>
      </c>
      <c r="AA6" s="37">
        <v>8695</v>
      </c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25">
        <f t="shared" si="1"/>
        <v>0.23807738095238096</v>
      </c>
      <c r="AM6" s="25">
        <f t="shared" si="1"/>
        <v>0</v>
      </c>
      <c r="AN6" s="25">
        <f t="shared" si="1"/>
        <v>0</v>
      </c>
      <c r="AO6" s="25">
        <f t="shared" si="1"/>
        <v>0</v>
      </c>
      <c r="AP6" s="25">
        <f t="shared" si="1"/>
        <v>0</v>
      </c>
      <c r="AQ6" s="25">
        <f t="shared" si="1"/>
        <v>0</v>
      </c>
      <c r="AR6" s="25">
        <f t="shared" si="1"/>
        <v>0</v>
      </c>
      <c r="AS6" s="25">
        <f t="shared" si="1"/>
        <v>0</v>
      </c>
      <c r="AT6" s="25">
        <f t="shared" si="1"/>
        <v>0</v>
      </c>
      <c r="AU6" s="25">
        <f t="shared" si="1"/>
        <v>0</v>
      </c>
      <c r="AV6" s="25">
        <f t="shared" si="1"/>
        <v>0</v>
      </c>
    </row>
    <row r="7" spans="3:48" ht="15" thickBot="1" x14ac:dyDescent="0.2">
      <c r="C7" s="2" t="s">
        <v>5</v>
      </c>
      <c r="D7" s="11">
        <v>0.28399999999999997</v>
      </c>
      <c r="E7" s="24"/>
      <c r="F7" s="24"/>
      <c r="G7" s="12">
        <v>0.54600000000000004</v>
      </c>
      <c r="H7" s="24"/>
      <c r="I7" s="12">
        <v>0.89600000000000002</v>
      </c>
      <c r="J7" s="12">
        <v>0.96299999999999997</v>
      </c>
      <c r="K7" s="24"/>
      <c r="L7" s="24"/>
      <c r="M7" s="12">
        <v>1.07</v>
      </c>
      <c r="N7" s="27"/>
      <c r="O7" s="3">
        <f>13080/2</f>
        <v>6540</v>
      </c>
      <c r="P7" s="5">
        <f t="shared" si="0"/>
        <v>10080</v>
      </c>
      <c r="Q7" s="6">
        <f t="shared" si="0"/>
        <v>10080</v>
      </c>
      <c r="R7" s="6">
        <f t="shared" si="0"/>
        <v>10080</v>
      </c>
      <c r="S7" s="6">
        <f t="shared" si="0"/>
        <v>10080</v>
      </c>
      <c r="T7" s="6">
        <f t="shared" si="0"/>
        <v>10080</v>
      </c>
      <c r="U7" s="6">
        <f t="shared" si="0"/>
        <v>10080</v>
      </c>
      <c r="V7" s="6">
        <f t="shared" si="0"/>
        <v>10080</v>
      </c>
      <c r="W7" s="6">
        <f t="shared" si="0"/>
        <v>10080</v>
      </c>
      <c r="X7" s="6">
        <f t="shared" si="0"/>
        <v>10080</v>
      </c>
      <c r="Y7" s="6">
        <f t="shared" si="0"/>
        <v>10080</v>
      </c>
      <c r="Z7" s="7">
        <f t="shared" si="0"/>
        <v>10080</v>
      </c>
      <c r="AA7" s="37">
        <v>9</v>
      </c>
      <c r="AB7" s="38"/>
      <c r="AC7" s="38"/>
      <c r="AD7" s="38"/>
      <c r="AE7" s="38"/>
      <c r="AF7" s="38">
        <v>6531</v>
      </c>
      <c r="AG7" s="38"/>
      <c r="AH7" s="38"/>
      <c r="AI7" s="38"/>
      <c r="AJ7" s="38"/>
      <c r="AK7" s="38"/>
      <c r="AL7" s="25">
        <f t="shared" si="1"/>
        <v>2.5357142857142852E-4</v>
      </c>
      <c r="AM7" s="25">
        <f t="shared" si="1"/>
        <v>0</v>
      </c>
      <c r="AN7" s="25">
        <f t="shared" si="1"/>
        <v>0</v>
      </c>
      <c r="AO7" s="25">
        <f t="shared" si="1"/>
        <v>0</v>
      </c>
      <c r="AP7" s="25">
        <f t="shared" si="1"/>
        <v>0</v>
      </c>
      <c r="AQ7" s="25">
        <f t="shared" si="1"/>
        <v>0.58053333333333335</v>
      </c>
      <c r="AR7" s="25">
        <f t="shared" si="1"/>
        <v>0</v>
      </c>
      <c r="AS7" s="25">
        <f t="shared" si="1"/>
        <v>0</v>
      </c>
      <c r="AT7" s="25">
        <f t="shared" si="1"/>
        <v>0</v>
      </c>
      <c r="AU7" s="25">
        <f t="shared" si="1"/>
        <v>0</v>
      </c>
      <c r="AV7" s="25">
        <f t="shared" si="1"/>
        <v>0</v>
      </c>
    </row>
    <row r="8" spans="3:48" ht="15" thickBot="1" x14ac:dyDescent="0.2">
      <c r="C8" s="2" t="s">
        <v>6</v>
      </c>
      <c r="D8" s="11">
        <v>0.28699999999999998</v>
      </c>
      <c r="E8" s="24"/>
      <c r="F8" s="12">
        <v>0.52700000000000002</v>
      </c>
      <c r="G8" s="12">
        <v>0.52900000000000003</v>
      </c>
      <c r="H8" s="12">
        <v>0.93600000000000005</v>
      </c>
      <c r="I8" s="24"/>
      <c r="J8" s="24"/>
      <c r="K8" s="24"/>
      <c r="L8" s="24"/>
      <c r="M8" s="24"/>
      <c r="N8" s="27"/>
      <c r="O8" s="3">
        <f>11290/2</f>
        <v>5645</v>
      </c>
      <c r="P8" s="5">
        <f t="shared" si="0"/>
        <v>10080</v>
      </c>
      <c r="Q8" s="6">
        <f t="shared" si="0"/>
        <v>10080</v>
      </c>
      <c r="R8" s="6">
        <f t="shared" si="0"/>
        <v>10080</v>
      </c>
      <c r="S8" s="6">
        <f t="shared" si="0"/>
        <v>10080</v>
      </c>
      <c r="T8" s="6">
        <f t="shared" si="0"/>
        <v>10080</v>
      </c>
      <c r="U8" s="6">
        <f t="shared" si="0"/>
        <v>10080</v>
      </c>
      <c r="V8" s="6">
        <f t="shared" si="0"/>
        <v>10080</v>
      </c>
      <c r="W8" s="6">
        <f t="shared" si="0"/>
        <v>10080</v>
      </c>
      <c r="X8" s="6">
        <f t="shared" si="0"/>
        <v>10080</v>
      </c>
      <c r="Y8" s="6">
        <f t="shared" si="0"/>
        <v>10080</v>
      </c>
      <c r="Z8" s="7">
        <f t="shared" si="0"/>
        <v>10080</v>
      </c>
      <c r="AA8" s="37"/>
      <c r="AB8" s="38"/>
      <c r="AC8" s="38">
        <v>5645</v>
      </c>
      <c r="AD8" s="38"/>
      <c r="AE8" s="38"/>
      <c r="AF8" s="38"/>
      <c r="AG8" s="38"/>
      <c r="AH8" s="38"/>
      <c r="AI8" s="38"/>
      <c r="AJ8" s="38"/>
      <c r="AK8" s="38"/>
      <c r="AL8" s="25">
        <f t="shared" si="1"/>
        <v>0</v>
      </c>
      <c r="AM8" s="25">
        <f t="shared" si="1"/>
        <v>0</v>
      </c>
      <c r="AN8" s="25">
        <f t="shared" si="1"/>
        <v>0.29513045634920637</v>
      </c>
      <c r="AO8" s="25">
        <f t="shared" si="1"/>
        <v>0</v>
      </c>
      <c r="AP8" s="25">
        <f t="shared" si="1"/>
        <v>0</v>
      </c>
      <c r="AQ8" s="25">
        <f t="shared" si="1"/>
        <v>0</v>
      </c>
      <c r="AR8" s="25">
        <f t="shared" si="1"/>
        <v>0</v>
      </c>
      <c r="AS8" s="25">
        <f t="shared" si="1"/>
        <v>0</v>
      </c>
      <c r="AT8" s="25">
        <f t="shared" si="1"/>
        <v>0</v>
      </c>
      <c r="AU8" s="25">
        <f t="shared" si="1"/>
        <v>0</v>
      </c>
      <c r="AV8" s="25">
        <f t="shared" si="1"/>
        <v>0</v>
      </c>
    </row>
    <row r="9" spans="3:48" ht="15" thickBot="1" x14ac:dyDescent="0.2">
      <c r="C9" s="2" t="s">
        <v>7</v>
      </c>
      <c r="D9" s="11">
        <v>0.30299999999999999</v>
      </c>
      <c r="E9" s="24"/>
      <c r="F9" s="12">
        <v>0.59299999999999997</v>
      </c>
      <c r="G9" s="12"/>
      <c r="H9" s="12">
        <v>1.079</v>
      </c>
      <c r="I9" s="24"/>
      <c r="J9" s="24"/>
      <c r="K9" s="24"/>
      <c r="L9" s="12">
        <v>1.9870000000000001</v>
      </c>
      <c r="M9" s="24"/>
      <c r="N9" s="27"/>
      <c r="O9" s="3">
        <f>13640/2</f>
        <v>6820</v>
      </c>
      <c r="P9" s="5">
        <f t="shared" si="0"/>
        <v>10080</v>
      </c>
      <c r="Q9" s="6">
        <f t="shared" si="0"/>
        <v>10080</v>
      </c>
      <c r="R9" s="6">
        <f t="shared" si="0"/>
        <v>10080</v>
      </c>
      <c r="S9" s="6">
        <f t="shared" si="0"/>
        <v>10080</v>
      </c>
      <c r="T9" s="6">
        <f t="shared" si="0"/>
        <v>10080</v>
      </c>
      <c r="U9" s="6">
        <f t="shared" si="0"/>
        <v>10080</v>
      </c>
      <c r="V9" s="6">
        <f t="shared" si="0"/>
        <v>10080</v>
      </c>
      <c r="W9" s="6">
        <f t="shared" si="0"/>
        <v>10080</v>
      </c>
      <c r="X9" s="6">
        <f t="shared" si="0"/>
        <v>10080</v>
      </c>
      <c r="Y9" s="6">
        <f t="shared" si="0"/>
        <v>10080</v>
      </c>
      <c r="Z9" s="7">
        <f t="shared" si="0"/>
        <v>10080</v>
      </c>
      <c r="AA9" s="37">
        <v>30</v>
      </c>
      <c r="AB9" s="38"/>
      <c r="AC9" s="38">
        <v>6788</v>
      </c>
      <c r="AD9" s="38"/>
      <c r="AE9" s="38"/>
      <c r="AF9" s="38"/>
      <c r="AG9" s="38"/>
      <c r="AH9" s="38"/>
      <c r="AI9" s="38">
        <v>2</v>
      </c>
      <c r="AJ9" s="38"/>
      <c r="AK9" s="38"/>
      <c r="AL9" s="25">
        <f t="shared" si="1"/>
        <v>9.0178571428571423E-4</v>
      </c>
      <c r="AM9" s="25">
        <f t="shared" si="1"/>
        <v>0</v>
      </c>
      <c r="AN9" s="25">
        <f t="shared" si="1"/>
        <v>0.39933373015873014</v>
      </c>
      <c r="AO9" s="25">
        <f t="shared" si="1"/>
        <v>0</v>
      </c>
      <c r="AP9" s="25">
        <f t="shared" si="1"/>
        <v>0</v>
      </c>
      <c r="AQ9" s="25">
        <f t="shared" si="1"/>
        <v>0</v>
      </c>
      <c r="AR9" s="25">
        <f t="shared" si="1"/>
        <v>0</v>
      </c>
      <c r="AS9" s="25">
        <f t="shared" si="1"/>
        <v>0</v>
      </c>
      <c r="AT9" s="25">
        <f t="shared" si="1"/>
        <v>3.9424603174603175E-4</v>
      </c>
      <c r="AU9" s="25">
        <f t="shared" si="1"/>
        <v>0</v>
      </c>
      <c r="AV9" s="25">
        <f t="shared" si="1"/>
        <v>0</v>
      </c>
    </row>
    <row r="10" spans="3:48" ht="15" thickBot="1" x14ac:dyDescent="0.2">
      <c r="C10" s="2" t="s">
        <v>8</v>
      </c>
      <c r="D10" s="11">
        <v>0.30299999999999999</v>
      </c>
      <c r="E10" s="24"/>
      <c r="F10" s="24"/>
      <c r="G10" s="12">
        <v>0.52900000000000003</v>
      </c>
      <c r="H10" s="24"/>
      <c r="I10" s="12">
        <v>0.879</v>
      </c>
      <c r="J10" s="12">
        <v>0.97199999999999998</v>
      </c>
      <c r="K10" s="12">
        <v>1.252</v>
      </c>
      <c r="L10" s="24"/>
      <c r="M10" s="12">
        <v>1.5509999999999999</v>
      </c>
      <c r="N10" s="27"/>
      <c r="O10" s="3">
        <f>19720/2</f>
        <v>9860</v>
      </c>
      <c r="P10" s="5">
        <f t="shared" si="0"/>
        <v>10080</v>
      </c>
      <c r="Q10" s="6">
        <f t="shared" si="0"/>
        <v>10080</v>
      </c>
      <c r="R10" s="6">
        <f t="shared" si="0"/>
        <v>10080</v>
      </c>
      <c r="S10" s="6">
        <f t="shared" si="0"/>
        <v>10080</v>
      </c>
      <c r="T10" s="6">
        <f t="shared" si="0"/>
        <v>10080</v>
      </c>
      <c r="U10" s="6">
        <f t="shared" si="0"/>
        <v>10080</v>
      </c>
      <c r="V10" s="6">
        <f t="shared" si="0"/>
        <v>10080</v>
      </c>
      <c r="W10" s="6">
        <f t="shared" si="0"/>
        <v>10080</v>
      </c>
      <c r="X10" s="6">
        <f t="shared" si="0"/>
        <v>10080</v>
      </c>
      <c r="Y10" s="6">
        <f t="shared" si="0"/>
        <v>10080</v>
      </c>
      <c r="Z10" s="7">
        <f t="shared" si="0"/>
        <v>10080</v>
      </c>
      <c r="AA10" s="37"/>
      <c r="AB10" s="38"/>
      <c r="AC10" s="38"/>
      <c r="AD10" s="38"/>
      <c r="AE10" s="38"/>
      <c r="AF10" s="39"/>
      <c r="AG10" s="38">
        <v>5346</v>
      </c>
      <c r="AH10" s="38"/>
      <c r="AI10" s="38"/>
      <c r="AJ10" s="38">
        <v>4514</v>
      </c>
      <c r="AK10" s="38"/>
      <c r="AL10" s="25">
        <f t="shared" si="1"/>
        <v>0</v>
      </c>
      <c r="AM10" s="25">
        <f t="shared" si="1"/>
        <v>0</v>
      </c>
      <c r="AN10" s="25">
        <f t="shared" si="1"/>
        <v>0</v>
      </c>
      <c r="AO10" s="25">
        <f t="shared" si="1"/>
        <v>0</v>
      </c>
      <c r="AP10" s="25">
        <f t="shared" si="1"/>
        <v>0</v>
      </c>
      <c r="AQ10" s="25">
        <f t="shared" si="1"/>
        <v>0</v>
      </c>
      <c r="AR10" s="25">
        <f t="shared" si="1"/>
        <v>0.51550714285714283</v>
      </c>
      <c r="AS10" s="25">
        <f t="shared" si="1"/>
        <v>0</v>
      </c>
      <c r="AT10" s="25">
        <f t="shared" si="1"/>
        <v>0</v>
      </c>
      <c r="AU10" s="25">
        <f t="shared" si="1"/>
        <v>0.69456488095238089</v>
      </c>
      <c r="AV10" s="25">
        <f t="shared" si="1"/>
        <v>0</v>
      </c>
    </row>
    <row r="11" spans="3:48" ht="15" thickBot="1" x14ac:dyDescent="0.2">
      <c r="C11" s="2" t="s">
        <v>17</v>
      </c>
      <c r="D11" s="11">
        <v>0.27</v>
      </c>
      <c r="E11" s="12">
        <v>0.28799999999999998</v>
      </c>
      <c r="F11" s="12">
        <v>0.51</v>
      </c>
      <c r="G11" s="12">
        <v>0.54600000000000004</v>
      </c>
      <c r="H11" s="12">
        <v>0.78800000000000003</v>
      </c>
      <c r="I11" s="12">
        <v>0.89100000000000001</v>
      </c>
      <c r="J11" s="12">
        <v>1.022</v>
      </c>
      <c r="K11" s="12">
        <v>1.3360000000000001</v>
      </c>
      <c r="L11" s="24"/>
      <c r="M11" s="24"/>
      <c r="N11" s="27"/>
      <c r="O11" s="3">
        <f>29070/2</f>
        <v>14535</v>
      </c>
      <c r="P11" s="5">
        <f t="shared" si="0"/>
        <v>10080</v>
      </c>
      <c r="Q11" s="6">
        <f t="shared" si="0"/>
        <v>10080</v>
      </c>
      <c r="R11" s="6">
        <f t="shared" si="0"/>
        <v>10080</v>
      </c>
      <c r="S11" s="6">
        <f t="shared" si="0"/>
        <v>10080</v>
      </c>
      <c r="T11" s="6">
        <f t="shared" si="0"/>
        <v>10080</v>
      </c>
      <c r="U11" s="6">
        <f t="shared" si="0"/>
        <v>10080</v>
      </c>
      <c r="V11" s="6">
        <f t="shared" si="0"/>
        <v>10080</v>
      </c>
      <c r="W11" s="6">
        <f t="shared" si="0"/>
        <v>10080</v>
      </c>
      <c r="X11" s="6">
        <f t="shared" si="0"/>
        <v>10080</v>
      </c>
      <c r="Y11" s="6">
        <f t="shared" si="0"/>
        <v>10080</v>
      </c>
      <c r="Z11" s="7">
        <f t="shared" si="0"/>
        <v>10080</v>
      </c>
      <c r="AA11" s="37"/>
      <c r="AB11" s="38">
        <v>14531</v>
      </c>
      <c r="AC11" s="38">
        <v>2</v>
      </c>
      <c r="AD11" s="38"/>
      <c r="AE11" s="38">
        <v>2</v>
      </c>
      <c r="AF11" s="38"/>
      <c r="AG11" s="38"/>
      <c r="AH11" s="38"/>
      <c r="AI11" s="38"/>
      <c r="AJ11" s="38"/>
      <c r="AK11" s="38"/>
      <c r="AL11" s="25">
        <f t="shared" si="1"/>
        <v>0</v>
      </c>
      <c r="AM11" s="25">
        <f t="shared" si="1"/>
        <v>0.41517142857142858</v>
      </c>
      <c r="AN11" s="25">
        <f t="shared" si="1"/>
        <v>1.011904761904762E-4</v>
      </c>
      <c r="AO11" s="25">
        <f t="shared" si="1"/>
        <v>0</v>
      </c>
      <c r="AP11" s="25">
        <f t="shared" si="1"/>
        <v>1.5634920634920635E-4</v>
      </c>
      <c r="AQ11" s="25">
        <f t="shared" si="1"/>
        <v>0</v>
      </c>
      <c r="AR11" s="25">
        <f t="shared" si="1"/>
        <v>0</v>
      </c>
      <c r="AS11" s="25">
        <f t="shared" si="1"/>
        <v>0</v>
      </c>
      <c r="AT11" s="25">
        <f t="shared" si="1"/>
        <v>0</v>
      </c>
      <c r="AU11" s="25">
        <f t="shared" si="1"/>
        <v>0</v>
      </c>
      <c r="AV11" s="25">
        <f t="shared" si="1"/>
        <v>0</v>
      </c>
    </row>
    <row r="12" spans="3:48" ht="15" thickBot="1" x14ac:dyDescent="0.2">
      <c r="C12" s="2" t="s">
        <v>1</v>
      </c>
      <c r="D12" s="11">
        <v>0.33700000000000002</v>
      </c>
      <c r="E12" s="24"/>
      <c r="F12" s="24"/>
      <c r="G12" s="12">
        <v>0.58899999999999997</v>
      </c>
      <c r="H12" s="24"/>
      <c r="I12" s="12">
        <v>1.1120000000000001</v>
      </c>
      <c r="J12" s="12">
        <v>1.23</v>
      </c>
      <c r="K12" s="24"/>
      <c r="L12" s="24"/>
      <c r="M12" s="24"/>
      <c r="N12" s="13">
        <v>1.5660000000000001</v>
      </c>
      <c r="O12" s="3">
        <f>25080/2</f>
        <v>12540</v>
      </c>
      <c r="P12" s="5">
        <f t="shared" si="0"/>
        <v>10080</v>
      </c>
      <c r="Q12" s="6">
        <f t="shared" si="0"/>
        <v>10080</v>
      </c>
      <c r="R12" s="6">
        <f t="shared" si="0"/>
        <v>10080</v>
      </c>
      <c r="S12" s="6">
        <f t="shared" si="0"/>
        <v>10080</v>
      </c>
      <c r="T12" s="6">
        <f t="shared" si="0"/>
        <v>10080</v>
      </c>
      <c r="U12" s="6">
        <f t="shared" si="0"/>
        <v>10080</v>
      </c>
      <c r="V12" s="6">
        <f t="shared" si="0"/>
        <v>10080</v>
      </c>
      <c r="W12" s="6">
        <f t="shared" si="0"/>
        <v>10080</v>
      </c>
      <c r="X12" s="6">
        <f t="shared" si="0"/>
        <v>10080</v>
      </c>
      <c r="Y12" s="6">
        <f t="shared" si="0"/>
        <v>10080</v>
      </c>
      <c r="Z12" s="7">
        <f t="shared" si="0"/>
        <v>10080</v>
      </c>
      <c r="AA12" s="37"/>
      <c r="AB12" s="38"/>
      <c r="AC12" s="38"/>
      <c r="AD12" s="38">
        <v>8067</v>
      </c>
      <c r="AE12" s="38"/>
      <c r="AF12" s="38"/>
      <c r="AG12" s="38">
        <v>3</v>
      </c>
      <c r="AH12" s="38"/>
      <c r="AI12" s="38"/>
      <c r="AJ12" s="38"/>
      <c r="AK12" s="38">
        <v>4470</v>
      </c>
      <c r="AL12" s="25">
        <f t="shared" si="1"/>
        <v>0</v>
      </c>
      <c r="AM12" s="25">
        <f t="shared" si="1"/>
        <v>0</v>
      </c>
      <c r="AN12" s="25">
        <f t="shared" si="1"/>
        <v>0</v>
      </c>
      <c r="AO12" s="25">
        <f t="shared" si="1"/>
        <v>0.47137529761904762</v>
      </c>
      <c r="AP12" s="25">
        <f t="shared" si="1"/>
        <v>0</v>
      </c>
      <c r="AQ12" s="25">
        <f t="shared" si="1"/>
        <v>0</v>
      </c>
      <c r="AR12" s="25">
        <f t="shared" si="1"/>
        <v>3.6607142857142855E-4</v>
      </c>
      <c r="AS12" s="25">
        <f t="shared" si="1"/>
        <v>0</v>
      </c>
      <c r="AT12" s="25">
        <f t="shared" si="1"/>
        <v>0</v>
      </c>
      <c r="AU12" s="25">
        <f t="shared" si="1"/>
        <v>0</v>
      </c>
      <c r="AV12" s="25">
        <f t="shared" si="1"/>
        <v>0.69444642857142858</v>
      </c>
    </row>
    <row r="13" spans="3:48" ht="15" thickBot="1" x14ac:dyDescent="0.2">
      <c r="C13" s="2" t="s">
        <v>18</v>
      </c>
      <c r="D13" s="11">
        <v>0.29799999999999999</v>
      </c>
      <c r="E13" s="24"/>
      <c r="F13" s="24"/>
      <c r="G13" s="12">
        <v>0.54600000000000004</v>
      </c>
      <c r="H13" s="12">
        <v>1.016</v>
      </c>
      <c r="I13" s="12">
        <v>0.94599999999999995</v>
      </c>
      <c r="J13" s="12">
        <v>1.1299999999999999</v>
      </c>
      <c r="K13" s="24"/>
      <c r="L13" s="24"/>
      <c r="M13" s="12">
        <v>1.8560000000000001</v>
      </c>
      <c r="N13" s="27"/>
      <c r="O13" s="3">
        <f>21380/2</f>
        <v>10690</v>
      </c>
      <c r="P13" s="5">
        <f t="shared" si="0"/>
        <v>10080</v>
      </c>
      <c r="Q13" s="6">
        <f t="shared" si="0"/>
        <v>10080</v>
      </c>
      <c r="R13" s="6">
        <f t="shared" si="0"/>
        <v>10080</v>
      </c>
      <c r="S13" s="6">
        <f t="shared" si="0"/>
        <v>10080</v>
      </c>
      <c r="T13" s="6">
        <f t="shared" si="0"/>
        <v>10080</v>
      </c>
      <c r="U13" s="6">
        <f t="shared" si="0"/>
        <v>10080</v>
      </c>
      <c r="V13" s="6">
        <f t="shared" si="0"/>
        <v>10080</v>
      </c>
      <c r="W13" s="6">
        <f t="shared" si="0"/>
        <v>10080</v>
      </c>
      <c r="X13" s="6">
        <f t="shared" si="0"/>
        <v>10080</v>
      </c>
      <c r="Y13" s="6">
        <f t="shared" si="0"/>
        <v>10080</v>
      </c>
      <c r="Z13" s="7">
        <f t="shared" si="0"/>
        <v>10080</v>
      </c>
      <c r="AA13" s="37">
        <v>3760</v>
      </c>
      <c r="AB13" s="38"/>
      <c r="AC13" s="38"/>
      <c r="AD13" s="38">
        <v>4121</v>
      </c>
      <c r="AE13" s="38"/>
      <c r="AF13" s="38">
        <v>1215</v>
      </c>
      <c r="AG13" s="38">
        <v>1594</v>
      </c>
      <c r="AH13" s="38"/>
      <c r="AI13" s="38"/>
      <c r="AJ13" s="38"/>
      <c r="AK13" s="38"/>
      <c r="AL13" s="25">
        <f t="shared" si="1"/>
        <v>0.11115873015873017</v>
      </c>
      <c r="AM13" s="25">
        <f t="shared" si="1"/>
        <v>0</v>
      </c>
      <c r="AN13" s="25">
        <f t="shared" si="1"/>
        <v>0</v>
      </c>
      <c r="AO13" s="25">
        <f t="shared" si="1"/>
        <v>0.22322083333333337</v>
      </c>
      <c r="AP13" s="25">
        <f t="shared" si="1"/>
        <v>0</v>
      </c>
      <c r="AQ13" s="25">
        <f t="shared" si="1"/>
        <v>0.11402678571428571</v>
      </c>
      <c r="AR13" s="25">
        <f t="shared" si="1"/>
        <v>0.17869246031746031</v>
      </c>
      <c r="AS13" s="25">
        <f t="shared" si="1"/>
        <v>0</v>
      </c>
      <c r="AT13" s="25">
        <f t="shared" si="1"/>
        <v>0</v>
      </c>
      <c r="AU13" s="25">
        <f t="shared" si="1"/>
        <v>0</v>
      </c>
      <c r="AV13" s="25">
        <f t="shared" si="1"/>
        <v>0</v>
      </c>
    </row>
    <row r="14" spans="3:48" ht="15" thickBot="1" x14ac:dyDescent="0.2">
      <c r="C14" s="2" t="s">
        <v>19</v>
      </c>
      <c r="D14" s="11">
        <v>0.253</v>
      </c>
      <c r="E14" s="12">
        <v>0.27100000000000002</v>
      </c>
      <c r="F14" s="24"/>
      <c r="G14" s="12">
        <v>0.51900000000000002</v>
      </c>
      <c r="H14" s="12">
        <v>0.83899999999999997</v>
      </c>
      <c r="I14" s="12">
        <v>0.93500000000000005</v>
      </c>
      <c r="J14" s="12">
        <v>0.98799999999999999</v>
      </c>
      <c r="K14" s="12">
        <v>1.2689999999999999</v>
      </c>
      <c r="L14" s="12">
        <v>1.4790000000000001</v>
      </c>
      <c r="M14" s="12">
        <v>1.573</v>
      </c>
      <c r="N14" s="27"/>
      <c r="O14" s="3">
        <f>17380/2</f>
        <v>8690</v>
      </c>
      <c r="P14" s="5">
        <f t="shared" si="0"/>
        <v>10080</v>
      </c>
      <c r="Q14" s="6">
        <f t="shared" si="0"/>
        <v>10080</v>
      </c>
      <c r="R14" s="6">
        <f t="shared" si="0"/>
        <v>10080</v>
      </c>
      <c r="S14" s="6">
        <f t="shared" si="0"/>
        <v>10080</v>
      </c>
      <c r="T14" s="6">
        <f t="shared" si="0"/>
        <v>10080</v>
      </c>
      <c r="U14" s="6">
        <f t="shared" si="0"/>
        <v>10080</v>
      </c>
      <c r="V14" s="6">
        <f t="shared" si="0"/>
        <v>10080</v>
      </c>
      <c r="W14" s="6">
        <f t="shared" si="0"/>
        <v>10080</v>
      </c>
      <c r="X14" s="6">
        <f t="shared" si="0"/>
        <v>10080</v>
      </c>
      <c r="Y14" s="6">
        <f t="shared" si="0"/>
        <v>10080</v>
      </c>
      <c r="Z14" s="7">
        <f t="shared" si="0"/>
        <v>10080</v>
      </c>
      <c r="AA14" s="37"/>
      <c r="AB14" s="38">
        <v>3959</v>
      </c>
      <c r="AC14" s="38"/>
      <c r="AD14" s="38"/>
      <c r="AE14" s="38"/>
      <c r="AF14" s="38"/>
      <c r="AG14" s="38"/>
      <c r="AH14" s="38"/>
      <c r="AI14" s="38">
        <v>4731</v>
      </c>
      <c r="AJ14" s="38"/>
      <c r="AK14" s="38"/>
      <c r="AL14" s="25">
        <f t="shared" si="1"/>
        <v>0</v>
      </c>
      <c r="AM14" s="25">
        <f t="shared" si="1"/>
        <v>0.1064374007936508</v>
      </c>
      <c r="AN14" s="25">
        <f t="shared" si="1"/>
        <v>0</v>
      </c>
      <c r="AO14" s="25">
        <f t="shared" si="1"/>
        <v>0</v>
      </c>
      <c r="AP14" s="25">
        <f t="shared" si="1"/>
        <v>0</v>
      </c>
      <c r="AQ14" s="25">
        <f t="shared" si="1"/>
        <v>0</v>
      </c>
      <c r="AR14" s="25">
        <f t="shared" si="1"/>
        <v>0</v>
      </c>
      <c r="AS14" s="25">
        <f t="shared" si="1"/>
        <v>0</v>
      </c>
      <c r="AT14" s="25">
        <f t="shared" si="1"/>
        <v>0.69416160714285713</v>
      </c>
      <c r="AU14" s="25">
        <f t="shared" si="1"/>
        <v>0</v>
      </c>
      <c r="AV14" s="25">
        <f t="shared" si="1"/>
        <v>0</v>
      </c>
    </row>
    <row r="15" spans="3:48" ht="15" thickBot="1" x14ac:dyDescent="0.2">
      <c r="C15" s="2" t="s">
        <v>20</v>
      </c>
      <c r="D15" s="14">
        <v>0.27</v>
      </c>
      <c r="E15" s="15">
        <v>0.32100000000000001</v>
      </c>
      <c r="F15" s="26"/>
      <c r="G15" s="15">
        <v>0.58899999999999997</v>
      </c>
      <c r="H15" s="15">
        <v>1.0229999999999999</v>
      </c>
      <c r="I15" s="15">
        <v>0.91200000000000003</v>
      </c>
      <c r="J15" s="15"/>
      <c r="K15" s="15">
        <v>1.1859999999999999</v>
      </c>
      <c r="L15" s="15">
        <v>1.996</v>
      </c>
      <c r="M15" s="15">
        <v>1.66</v>
      </c>
      <c r="N15" s="28"/>
      <c r="O15" s="4">
        <f>28000/2</f>
        <v>14000</v>
      </c>
      <c r="P15" s="8">
        <f t="shared" si="0"/>
        <v>10080</v>
      </c>
      <c r="Q15" s="9">
        <f t="shared" si="0"/>
        <v>10080</v>
      </c>
      <c r="R15" s="9">
        <f t="shared" si="0"/>
        <v>10080</v>
      </c>
      <c r="S15" s="9">
        <f t="shared" si="0"/>
        <v>10080</v>
      </c>
      <c r="T15" s="9">
        <f t="shared" si="0"/>
        <v>10080</v>
      </c>
      <c r="U15" s="9">
        <f t="shared" si="0"/>
        <v>10080</v>
      </c>
      <c r="V15" s="9">
        <f t="shared" si="0"/>
        <v>10080</v>
      </c>
      <c r="W15" s="9">
        <f t="shared" si="0"/>
        <v>10080</v>
      </c>
      <c r="X15" s="9">
        <f t="shared" si="0"/>
        <v>10080</v>
      </c>
      <c r="Y15" s="9">
        <f t="shared" si="0"/>
        <v>10080</v>
      </c>
      <c r="Z15" s="10">
        <f t="shared" si="0"/>
        <v>10080</v>
      </c>
      <c r="AA15" s="37">
        <v>2666</v>
      </c>
      <c r="AB15" s="38">
        <v>5431</v>
      </c>
      <c r="AC15" s="38"/>
      <c r="AD15" s="38"/>
      <c r="AE15" s="38"/>
      <c r="AF15" s="38"/>
      <c r="AG15" s="38"/>
      <c r="AH15" s="38">
        <v>5903</v>
      </c>
      <c r="AI15" s="39"/>
      <c r="AJ15" s="38"/>
      <c r="AK15" s="38"/>
      <c r="AL15" s="25">
        <f t="shared" si="1"/>
        <v>7.1410714285714286E-2</v>
      </c>
      <c r="AM15" s="25">
        <f t="shared" si="1"/>
        <v>0.17295148809523811</v>
      </c>
      <c r="AN15" s="25">
        <f t="shared" si="1"/>
        <v>0</v>
      </c>
      <c r="AO15" s="25">
        <f t="shared" si="1"/>
        <v>0</v>
      </c>
      <c r="AP15" s="25">
        <f t="shared" si="1"/>
        <v>0</v>
      </c>
      <c r="AQ15" s="25">
        <f t="shared" si="1"/>
        <v>0</v>
      </c>
      <c r="AR15" s="25">
        <f t="shared" si="1"/>
        <v>0</v>
      </c>
      <c r="AS15" s="25">
        <f t="shared" si="1"/>
        <v>0.69453948412698407</v>
      </c>
      <c r="AT15" s="25">
        <f t="shared" si="1"/>
        <v>0</v>
      </c>
      <c r="AU15" s="25">
        <f t="shared" si="1"/>
        <v>0</v>
      </c>
      <c r="AV15" s="25">
        <f t="shared" si="1"/>
        <v>0</v>
      </c>
    </row>
    <row r="16" spans="3:48" x14ac:dyDescent="0.15">
      <c r="O16" s="2" t="s">
        <v>16</v>
      </c>
      <c r="AL16" s="25">
        <f t="shared" ref="AL16:AV16" si="2">SUM(AL4:AL15)</f>
        <v>0.69456349206349211</v>
      </c>
      <c r="AM16" s="25">
        <f t="shared" si="2"/>
        <v>0.69456031746031743</v>
      </c>
      <c r="AN16" s="25">
        <f t="shared" si="2"/>
        <v>0.69456537698412701</v>
      </c>
      <c r="AO16" s="25">
        <f t="shared" si="2"/>
        <v>0.69459613095238093</v>
      </c>
      <c r="AP16" s="25">
        <f t="shared" si="2"/>
        <v>0.69455634920634923</v>
      </c>
      <c r="AQ16" s="25">
        <f t="shared" si="2"/>
        <v>0.69456011904761905</v>
      </c>
      <c r="AR16" s="25">
        <f t="shared" si="2"/>
        <v>0.69456567460317464</v>
      </c>
      <c r="AS16" s="25">
        <f t="shared" si="2"/>
        <v>0.69453948412698407</v>
      </c>
      <c r="AT16" s="25">
        <f t="shared" si="2"/>
        <v>0.69455585317460311</v>
      </c>
      <c r="AU16" s="25">
        <f t="shared" si="2"/>
        <v>0.69456488095238089</v>
      </c>
      <c r="AV16" s="25">
        <f t="shared" si="2"/>
        <v>0.69444642857142858</v>
      </c>
    </row>
    <row r="17" spans="4:48" x14ac:dyDescent="0.15">
      <c r="AL17" s="30">
        <v>1</v>
      </c>
      <c r="AM17" s="30">
        <v>1</v>
      </c>
      <c r="AN17" s="30">
        <v>1</v>
      </c>
      <c r="AO17" s="30">
        <v>1</v>
      </c>
      <c r="AP17" s="30">
        <v>1</v>
      </c>
      <c r="AQ17" s="30">
        <v>1</v>
      </c>
      <c r="AR17" s="30">
        <v>1</v>
      </c>
      <c r="AS17" s="30">
        <v>1</v>
      </c>
      <c r="AT17" s="30">
        <v>1</v>
      </c>
      <c r="AU17" s="30">
        <v>1</v>
      </c>
      <c r="AV17" s="30">
        <v>1</v>
      </c>
    </row>
    <row r="18" spans="4:48" x14ac:dyDescent="0.15">
      <c r="D18" s="34" t="s">
        <v>21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AL18" s="31">
        <f>SUM(AL16:AV16)</f>
        <v>7.6400741071428575</v>
      </c>
    </row>
    <row r="19" spans="4:48" x14ac:dyDescent="0.15"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AL19" s="31">
        <f>AVERAGE(AL16:AV16)</f>
        <v>0.69455219155844161</v>
      </c>
    </row>
    <row r="20" spans="4:48" x14ac:dyDescent="0.15"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</row>
    <row r="21" spans="4:48" x14ac:dyDescent="0.15"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</row>
    <row r="22" spans="4:48" x14ac:dyDescent="0.15"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</row>
    <row r="23" spans="4:48" x14ac:dyDescent="0.15"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</row>
    <row r="24" spans="4:48" x14ac:dyDescent="0.15"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</row>
    <row r="25" spans="4:48" x14ac:dyDescent="0.15"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</row>
    <row r="26" spans="4:48" x14ac:dyDescent="0.15"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</row>
    <row r="27" spans="4:48" x14ac:dyDescent="0.15"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</row>
    <row r="28" spans="4:48" x14ac:dyDescent="0.15"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</row>
    <row r="29" spans="4:48" x14ac:dyDescent="0.15"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</row>
    <row r="35" spans="16:16" x14ac:dyDescent="0.15">
      <c r="P35" s="1">
        <f>100000/12</f>
        <v>8333.3333333333339</v>
      </c>
    </row>
  </sheetData>
  <mergeCells count="6">
    <mergeCell ref="D24:V29"/>
    <mergeCell ref="D2:N2"/>
    <mergeCell ref="P2:Z2"/>
    <mergeCell ref="AA2:AK2"/>
    <mergeCell ref="AL2:AV2"/>
    <mergeCell ref="D18:R2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testing</vt:lpstr>
    </vt:vector>
  </TitlesOfParts>
  <Company>Infineon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Hidayat Rafi Aqila (IFKM FE OPC PMT IE)</dc:creator>
  <cp:lastModifiedBy>Microsoft Office User</cp:lastModifiedBy>
  <dcterms:created xsi:type="dcterms:W3CDTF">2023-10-10T08:10:01Z</dcterms:created>
  <dcterms:modified xsi:type="dcterms:W3CDTF">2024-05-09T09:40:39Z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5a25aa-e944-415d-b7a7-40f6b9180b6b_Enabled">
    <vt:lpwstr>true</vt:lpwstr>
  </property>
  <property fmtid="{D5CDD505-2E9C-101B-9397-08002B2CF9AE}" pid="3" name="MSIP_Label_a15a25aa-e944-415d-b7a7-40f6b9180b6b_SetDate">
    <vt:lpwstr>2023-10-10T09:31:45Z</vt:lpwstr>
  </property>
  <property fmtid="{D5CDD505-2E9C-101B-9397-08002B2CF9AE}" pid="4" name="MSIP_Label_a15a25aa-e944-415d-b7a7-40f6b9180b6b_Method">
    <vt:lpwstr>Standard</vt:lpwstr>
  </property>
  <property fmtid="{D5CDD505-2E9C-101B-9397-08002B2CF9AE}" pid="5" name="MSIP_Label_a15a25aa-e944-415d-b7a7-40f6b9180b6b_Name">
    <vt:lpwstr>a15a25aa-e944-415d-b7a7-40f6b9180b6b</vt:lpwstr>
  </property>
  <property fmtid="{D5CDD505-2E9C-101B-9397-08002B2CF9AE}" pid="6" name="MSIP_Label_a15a25aa-e944-415d-b7a7-40f6b9180b6b_SiteId">
    <vt:lpwstr>eeb8d0e8-3544-41d3-aac6-934c309faf5a</vt:lpwstr>
  </property>
  <property fmtid="{D5CDD505-2E9C-101B-9397-08002B2CF9AE}" pid="7" name="MSIP_Label_a15a25aa-e944-415d-b7a7-40f6b9180b6b_ActionId">
    <vt:lpwstr>81a84698-5a1d-4b5d-a7e6-bcfa71ded7c6</vt:lpwstr>
  </property>
  <property fmtid="{D5CDD505-2E9C-101B-9397-08002B2CF9AE}" pid="8" name="MSIP_Label_a15a25aa-e944-415d-b7a7-40f6b9180b6b_ContentBits">
    <vt:lpwstr>0</vt:lpwstr>
  </property>
</Properties>
</file>